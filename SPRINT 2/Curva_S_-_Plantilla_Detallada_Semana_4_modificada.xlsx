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1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icar\Downloads\"/>
    </mc:Choice>
  </mc:AlternateContent>
  <xr:revisionPtr revIDLastSave="0" documentId="8_{E63489C4-0BD0-4B2F-B282-1852F8B47D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talle de Costos" sheetId="11" r:id="rId1"/>
    <sheet name="Plantilla Curva S" sheetId="4" r:id="rId2"/>
    <sheet name="Ejemplo" sheetId="9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4" l="1"/>
  <c r="F15" i="4"/>
  <c r="G15" i="4"/>
  <c r="H15" i="4"/>
  <c r="I15" i="4"/>
  <c r="J15" i="4"/>
  <c r="K15" i="4"/>
  <c r="L15" i="4"/>
  <c r="M15" i="4"/>
  <c r="N15" i="4"/>
  <c r="O15" i="4"/>
  <c r="D15" i="4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J41" i="11"/>
  <c r="AK41" i="11"/>
  <c r="AL41" i="11"/>
  <c r="AM41" i="11"/>
  <c r="AN41" i="11"/>
  <c r="AO41" i="11"/>
  <c r="AP41" i="11"/>
  <c r="AQ41" i="11"/>
  <c r="AR41" i="11"/>
  <c r="AS41" i="11"/>
  <c r="AT41" i="11"/>
  <c r="AU41" i="11"/>
  <c r="AV41" i="11"/>
  <c r="AW41" i="11"/>
  <c r="AX41" i="11"/>
  <c r="AY41" i="11"/>
  <c r="AZ41" i="11"/>
  <c r="BA41" i="11"/>
  <c r="BB41" i="11"/>
  <c r="BC41" i="11"/>
  <c r="BD41" i="11"/>
  <c r="BE41" i="11"/>
  <c r="BF41" i="11"/>
  <c r="BG41" i="11"/>
  <c r="BH41" i="11"/>
  <c r="BI41" i="11"/>
  <c r="BJ41" i="11"/>
  <c r="E41" i="11" l="1"/>
  <c r="F17" i="4" s="1"/>
  <c r="G41" i="11"/>
  <c r="H17" i="4" s="1"/>
  <c r="D41" i="11"/>
  <c r="F41" i="11"/>
  <c r="I41" i="11"/>
  <c r="O41" i="11"/>
  <c r="D18" i="9"/>
  <c r="E18" i="9" s="1"/>
  <c r="F18" i="9" s="1"/>
  <c r="G18" i="9" s="1"/>
  <c r="H18" i="9" s="1"/>
  <c r="I18" i="9" s="1"/>
  <c r="J18" i="9" s="1"/>
  <c r="D16" i="9"/>
  <c r="E16" i="9" s="1"/>
  <c r="F16" i="9" s="1"/>
  <c r="G16" i="9" s="1"/>
  <c r="H16" i="9" s="1"/>
  <c r="I16" i="9" s="1"/>
  <c r="J16" i="9" s="1"/>
  <c r="K16" i="9" s="1"/>
  <c r="L16" i="9" s="1"/>
  <c r="M16" i="9" s="1"/>
  <c r="N16" i="9" s="1"/>
  <c r="O16" i="9" s="1"/>
  <c r="K41" i="11" l="1"/>
  <c r="J41" i="11"/>
  <c r="N41" i="11"/>
  <c r="M41" i="11"/>
  <c r="L41" i="11"/>
  <c r="H41" i="11"/>
  <c r="I17" i="4" s="1"/>
  <c r="E17" i="4"/>
  <c r="G17" i="4"/>
  <c r="D16" i="4"/>
  <c r="O17" i="4" l="1"/>
  <c r="N17" i="4"/>
  <c r="M17" i="4"/>
  <c r="L17" i="4"/>
  <c r="K17" i="4"/>
  <c r="J17" i="4"/>
  <c r="E16" i="4"/>
  <c r="F16" i="4" s="1"/>
  <c r="G16" i="4" l="1"/>
  <c r="H16" i="4" s="1"/>
  <c r="I16" i="4" s="1"/>
  <c r="J16" i="4" s="1"/>
  <c r="K16" i="4" s="1"/>
  <c r="L16" i="4" s="1"/>
  <c r="M16" i="4" s="1"/>
  <c r="N16" i="4" s="1"/>
  <c r="O16" i="4" s="1"/>
  <c r="C41" i="11" l="1"/>
  <c r="D17" i="4" s="1"/>
  <c r="D18" i="4" s="1"/>
  <c r="E18" i="4" s="1"/>
  <c r="F18" i="4" s="1"/>
  <c r="G18" i="4" s="1"/>
  <c r="H18" i="4" s="1"/>
</calcChain>
</file>

<file path=xl/sharedStrings.xml><?xml version="1.0" encoding="utf-8"?>
<sst xmlns="http://schemas.openxmlformats.org/spreadsheetml/2006/main" count="94" uniqueCount="75">
  <si>
    <t>Costos por paquete de trabajo</t>
  </si>
  <si>
    <t>Nombre del Proyecto</t>
  </si>
  <si>
    <t>Código</t>
  </si>
  <si>
    <t>Paquete de Trabajo</t>
  </si>
  <si>
    <t>Semana</t>
  </si>
  <si>
    <t>Componente 1</t>
  </si>
  <si>
    <t>1.1.1.1</t>
  </si>
  <si>
    <t>Revision de variables</t>
  </si>
  <si>
    <t>1.1.1.2</t>
  </si>
  <si>
    <t>Validacion de formatos y consistencia</t>
  </si>
  <si>
    <t>1.1.1.3</t>
  </si>
  <si>
    <t>Documentacion tecnica del dataset</t>
  </si>
  <si>
    <t>1.1.1.4</t>
  </si>
  <si>
    <t>Limpieza y validacion del datatest</t>
  </si>
  <si>
    <t>1.1.1.5</t>
  </si>
  <si>
    <t>Licencia de Ghat GPT Pro</t>
  </si>
  <si>
    <t>1.1.1.6</t>
  </si>
  <si>
    <t>Consultoria de estadistica externa</t>
  </si>
  <si>
    <t>Componente 2</t>
  </si>
  <si>
    <t>2.1.1.1</t>
  </si>
  <si>
    <t>Calculo de ingresos acumulados</t>
  </si>
  <si>
    <t>2.1.1.2</t>
  </si>
  <si>
    <t>Preparacion de datos para forecasting</t>
  </si>
  <si>
    <t>2.1.1.3</t>
  </si>
  <si>
    <t>Desarrollo del modelo predictivo</t>
  </si>
  <si>
    <t>2.1.2.1</t>
  </si>
  <si>
    <t>Pruebas de modelo</t>
  </si>
  <si>
    <t>2.1..2.2</t>
  </si>
  <si>
    <t>Licencia de Chat GTP Pro</t>
  </si>
  <si>
    <t>2.1.2.3</t>
  </si>
  <si>
    <t>Computacion/ procesamiento</t>
  </si>
  <si>
    <t>2.1.3.1</t>
  </si>
  <si>
    <t>Visualizacion de predicciones</t>
  </si>
  <si>
    <t>2.1.3.2</t>
  </si>
  <si>
    <t>Analisis de resultados</t>
  </si>
  <si>
    <t>2.1.3.3</t>
  </si>
  <si>
    <t xml:space="preserve">Documentacion tecnica </t>
  </si>
  <si>
    <t>2.1.4.1</t>
  </si>
  <si>
    <t>Consultoria Externa</t>
  </si>
  <si>
    <t>2.1.4.2</t>
  </si>
  <si>
    <t>Integracion del analisis del portafolio</t>
  </si>
  <si>
    <t>Componente 3</t>
  </si>
  <si>
    <t>Analisis historico de demanda</t>
  </si>
  <si>
    <t>Forecasting a corto plazo</t>
  </si>
  <si>
    <t>Forecasting a largo plazo</t>
  </si>
  <si>
    <t>Componente 4</t>
  </si>
  <si>
    <t>Clasificacion estrategica</t>
  </si>
  <si>
    <t>Visualizacion grafica BCG</t>
  </si>
  <si>
    <t>Componente 5</t>
  </si>
  <si>
    <t>Estrategia de inversion en marketing</t>
  </si>
  <si>
    <t>Recomendaciones de pricing</t>
  </si>
  <si>
    <t>Evaluacion impacto financiero</t>
  </si>
  <si>
    <t>2.1.1.4</t>
  </si>
  <si>
    <t>Analisis de riesgos</t>
  </si>
  <si>
    <t>2.1.1.5</t>
  </si>
  <si>
    <t>Plan de descontinuacion</t>
  </si>
  <si>
    <t>TOTAL</t>
  </si>
  <si>
    <t>Curva S de Recursos</t>
  </si>
  <si>
    <t>Proyecto:</t>
  </si>
  <si>
    <t>Analisis de Portafolio de Productos</t>
  </si>
  <si>
    <t>ID:</t>
  </si>
  <si>
    <t>APP-EST-015</t>
  </si>
  <si>
    <t>Fecha de Inicio</t>
  </si>
  <si>
    <t>Fecha Fin:</t>
  </si>
  <si>
    <t>Fecha estimada de fin del proyecto.</t>
  </si>
  <si>
    <t>Fecha de Corte:</t>
  </si>
  <si>
    <t>Fecha a la cual se reporta el costo real.</t>
  </si>
  <si>
    <t>Trimestre</t>
  </si>
  <si>
    <t>Valor Planificado</t>
  </si>
  <si>
    <t>Valor Planificado Acumulado</t>
  </si>
  <si>
    <t>Costo Real</t>
  </si>
  <si>
    <t>Costo Real Acumulado</t>
  </si>
  <si>
    <t>Apoyo Educativo</t>
  </si>
  <si>
    <t>HT2011-12</t>
  </si>
  <si>
    <t>Año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</si>
</sst>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_(* #,##0.00_);_(* \(#,##0.00\);_(* &quot;-&quot;??_);_(@_)"/>
    <numFmt numFmtId="166" formatCode="_-&quot;$&quot;* #,##0_-;\-&quot;$&quot;* #,##0_-;_-&quot;$&quot;* &quot;-&quot;??_-;_-@_-"/>
    <numFmt numFmtId="167" formatCode="_-* #,##0.0000_-;\-* #,##0.0000_-;_-* &quot;-&quot;??_-;_-@_-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1"/>
      <name val="Corbel"/>
      <family val="2"/>
    </font>
    <font>
      <b/>
      <sz val="16"/>
      <color theme="1"/>
      <name val="Corbel"/>
      <family val="2"/>
    </font>
    <font>
      <b/>
      <sz val="12"/>
      <color theme="0"/>
      <name val="Corbel"/>
      <family val="2"/>
    </font>
    <font>
      <sz val="11"/>
      <color theme="0"/>
      <name val="Corbel"/>
      <family val="2"/>
    </font>
    <font>
      <b/>
      <sz val="11"/>
      <color theme="0"/>
      <name val="Corbel"/>
      <family val="2"/>
    </font>
    <font>
      <b/>
      <sz val="10"/>
      <color theme="0"/>
      <name val="Corbel"/>
      <family val="2"/>
    </font>
    <font>
      <sz val="10"/>
      <color theme="1"/>
      <name val="Corbel"/>
      <family val="2"/>
    </font>
    <font>
      <sz val="8"/>
      <name val="Calibri"/>
      <family val="2"/>
      <scheme val="minor"/>
    </font>
    <font>
      <b/>
      <sz val="11"/>
      <color theme="1"/>
      <name val="Corbel"/>
      <family val="2"/>
    </font>
    <font>
      <b/>
      <sz val="10"/>
      <color rgb="FFFF0000"/>
      <name val="Corbel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376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/>
      <right style="double">
        <color auto="1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79">
    <xf numFmtId="0" fontId="0" fillId="0" borderId="0" xfId="0"/>
    <xf numFmtId="164" fontId="0" fillId="0" borderId="1" xfId="1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Alignment="1">
      <alignment horizontal="left"/>
    </xf>
    <xf numFmtId="0" fontId="2" fillId="0" borderId="0" xfId="0" applyFont="1" applyAlignment="1">
      <alignment horizontal="right"/>
    </xf>
    <xf numFmtId="0" fontId="0" fillId="0" borderId="0" xfId="0" applyAlignment="1">
      <alignment vertical="center"/>
    </xf>
    <xf numFmtId="9" fontId="0" fillId="0" borderId="0" xfId="2" applyFont="1" applyBorder="1" applyAlignment="1">
      <alignment vertical="center"/>
    </xf>
    <xf numFmtId="0" fontId="0" fillId="0" borderId="9" xfId="0" applyBorder="1" applyAlignment="1">
      <alignment horizontal="left"/>
    </xf>
    <xf numFmtId="164" fontId="0" fillId="0" borderId="1" xfId="1" applyFont="1" applyBorder="1" applyAlignment="1"/>
    <xf numFmtId="0" fontId="0" fillId="0" borderId="2" xfId="0" applyBorder="1"/>
    <xf numFmtId="0" fontId="0" fillId="0" borderId="3" xfId="0" applyBorder="1"/>
    <xf numFmtId="0" fontId="0" fillId="0" borderId="14" xfId="0" applyBorder="1"/>
    <xf numFmtId="0" fontId="0" fillId="3" borderId="1" xfId="0" applyFill="1" applyBorder="1"/>
    <xf numFmtId="0" fontId="2" fillId="3" borderId="1" xfId="0" applyFont="1" applyFill="1" applyBorder="1"/>
    <xf numFmtId="166" fontId="0" fillId="0" borderId="1" xfId="1" applyNumberFormat="1" applyFont="1" applyBorder="1"/>
    <xf numFmtId="166" fontId="0" fillId="0" borderId="13" xfId="1" applyNumberFormat="1" applyFont="1" applyBorder="1"/>
    <xf numFmtId="0" fontId="0" fillId="4" borderId="0" xfId="0" applyFill="1"/>
    <xf numFmtId="0" fontId="4" fillId="4" borderId="0" xfId="0" applyFont="1" applyFill="1" applyProtection="1">
      <protection locked="0"/>
    </xf>
    <xf numFmtId="0" fontId="5" fillId="4" borderId="0" xfId="0" applyFont="1" applyFill="1" applyProtection="1">
      <protection locked="0"/>
    </xf>
    <xf numFmtId="14" fontId="7" fillId="5" borderId="0" xfId="0" applyNumberFormat="1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top"/>
      <protection locked="0"/>
    </xf>
    <xf numFmtId="0" fontId="10" fillId="0" borderId="16" xfId="0" applyFont="1" applyBorder="1" applyAlignment="1" applyProtection="1">
      <alignment horizontal="left" vertical="center"/>
      <protection locked="0"/>
    </xf>
    <xf numFmtId="0" fontId="10" fillId="0" borderId="16" xfId="0" applyFont="1" applyBorder="1" applyAlignment="1" applyProtection="1">
      <alignment vertical="top"/>
      <protection locked="0"/>
    </xf>
    <xf numFmtId="0" fontId="8" fillId="5" borderId="15" xfId="0" applyFont="1" applyFill="1" applyBorder="1" applyAlignment="1" applyProtection="1">
      <alignment horizontal="center" vertical="top"/>
      <protection locked="0"/>
    </xf>
    <xf numFmtId="165" fontId="9" fillId="5" borderId="16" xfId="3" applyFont="1" applyFill="1" applyBorder="1" applyAlignment="1" applyProtection="1">
      <alignment vertical="top"/>
      <protection locked="0"/>
    </xf>
    <xf numFmtId="0" fontId="9" fillId="5" borderId="16" xfId="3" applyNumberFormat="1" applyFont="1" applyFill="1" applyBorder="1" applyAlignment="1" applyProtection="1">
      <alignment horizontal="center" vertical="top"/>
      <protection locked="0"/>
    </xf>
    <xf numFmtId="0" fontId="12" fillId="6" borderId="0" xfId="0" applyFont="1" applyFill="1" applyAlignment="1" applyProtection="1">
      <alignment horizontal="center"/>
      <protection locked="0"/>
    </xf>
    <xf numFmtId="165" fontId="4" fillId="6" borderId="1" xfId="3" applyFont="1" applyFill="1" applyBorder="1" applyProtection="1">
      <protection locked="0"/>
    </xf>
    <xf numFmtId="165" fontId="10" fillId="0" borderId="16" xfId="3" applyFont="1" applyBorder="1" applyAlignment="1" applyProtection="1">
      <alignment vertical="top"/>
      <protection locked="0"/>
    </xf>
    <xf numFmtId="165" fontId="4" fillId="4" borderId="0" xfId="0" applyNumberFormat="1" applyFont="1" applyFill="1" applyProtection="1">
      <protection locked="0"/>
    </xf>
    <xf numFmtId="165" fontId="10" fillId="3" borderId="16" xfId="3" applyFont="1" applyFill="1" applyBorder="1" applyAlignment="1" applyProtection="1">
      <alignment vertical="top"/>
      <protection locked="0"/>
    </xf>
    <xf numFmtId="164" fontId="13" fillId="5" borderId="16" xfId="1" applyFont="1" applyFill="1" applyBorder="1" applyAlignment="1" applyProtection="1">
      <alignment horizontal="center" vertical="top"/>
      <protection locked="0"/>
    </xf>
    <xf numFmtId="43" fontId="4" fillId="4" borderId="0" xfId="0" applyNumberFormat="1" applyFont="1" applyFill="1" applyProtection="1">
      <protection locked="0"/>
    </xf>
    <xf numFmtId="164" fontId="10" fillId="0" borderId="16" xfId="1" applyFont="1" applyBorder="1" applyAlignment="1" applyProtection="1">
      <alignment horizontal="center" vertical="top"/>
      <protection locked="0"/>
    </xf>
    <xf numFmtId="164" fontId="10" fillId="0" borderId="16" xfId="1" applyFont="1" applyBorder="1" applyAlignment="1" applyProtection="1">
      <alignment horizontal="center" vertical="top" wrapText="1"/>
      <protection locked="0"/>
    </xf>
    <xf numFmtId="164" fontId="10" fillId="0" borderId="16" xfId="1" applyFont="1" applyBorder="1" applyAlignment="1" applyProtection="1">
      <alignment vertical="top"/>
      <protection locked="0"/>
    </xf>
    <xf numFmtId="164" fontId="9" fillId="5" borderId="16" xfId="1" applyFont="1" applyFill="1" applyBorder="1" applyAlignment="1" applyProtection="1">
      <alignment vertical="top"/>
      <protection locked="0"/>
    </xf>
    <xf numFmtId="164" fontId="9" fillId="5" borderId="16" xfId="1" applyFont="1" applyFill="1" applyBorder="1" applyAlignment="1" applyProtection="1">
      <alignment horizontal="right" vertical="top"/>
      <protection locked="0"/>
    </xf>
    <xf numFmtId="164" fontId="4" fillId="6" borderId="1" xfId="1" applyFont="1" applyFill="1" applyBorder="1" applyProtection="1">
      <protection locked="0"/>
    </xf>
    <xf numFmtId="167" fontId="4" fillId="4" borderId="0" xfId="0" applyNumberFormat="1" applyFont="1" applyFill="1" applyProtection="1">
      <protection locked="0"/>
    </xf>
    <xf numFmtId="164" fontId="4" fillId="4" borderId="0" xfId="0" applyNumberFormat="1" applyFont="1" applyFill="1" applyProtection="1">
      <protection locked="0"/>
    </xf>
    <xf numFmtId="0" fontId="10" fillId="0" borderId="17" xfId="0" applyFont="1" applyBorder="1" applyAlignment="1" applyProtection="1">
      <alignment horizontal="left" vertical="center"/>
      <protection locked="0"/>
    </xf>
    <xf numFmtId="0" fontId="10" fillId="0" borderId="18" xfId="0" applyFont="1" applyBorder="1" applyAlignment="1" applyProtection="1">
      <alignment vertical="top"/>
      <protection locked="0"/>
    </xf>
    <xf numFmtId="0" fontId="2" fillId="3" borderId="1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right"/>
    </xf>
    <xf numFmtId="0" fontId="9" fillId="5" borderId="17" xfId="0" applyFont="1" applyFill="1" applyBorder="1" applyAlignment="1" applyProtection="1">
      <alignment horizontal="center" vertical="center"/>
      <protection locked="0"/>
    </xf>
    <xf numFmtId="0" fontId="9" fillId="5" borderId="18" xfId="0" applyFont="1" applyFill="1" applyBorder="1" applyAlignment="1" applyProtection="1">
      <alignment horizontal="center" vertical="center"/>
      <protection locked="0"/>
    </xf>
    <xf numFmtId="0" fontId="6" fillId="5" borderId="0" xfId="0" applyFont="1" applyFill="1" applyAlignment="1" applyProtection="1">
      <alignment horizontal="center" vertical="center"/>
      <protection locked="0"/>
    </xf>
    <xf numFmtId="0" fontId="9" fillId="5" borderId="17" xfId="0" applyFont="1" applyFill="1" applyBorder="1" applyAlignment="1" applyProtection="1">
      <alignment horizontal="right" vertical="center"/>
      <protection locked="0"/>
    </xf>
    <xf numFmtId="0" fontId="9" fillId="5" borderId="18" xfId="0" applyFont="1" applyFill="1" applyBorder="1" applyAlignment="1" applyProtection="1">
      <alignment horizontal="right" vertical="center"/>
      <protection locked="0"/>
    </xf>
    <xf numFmtId="0" fontId="2" fillId="3" borderId="1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4" xfId="0" applyBorder="1" applyAlignment="1">
      <alignment horizontal="left"/>
    </xf>
    <xf numFmtId="14" fontId="0" fillId="0" borderId="2" xfId="0" applyNumberFormat="1" applyBorder="1" applyAlignment="1">
      <alignment horizontal="left"/>
    </xf>
    <xf numFmtId="14" fontId="0" fillId="0" borderId="4" xfId="0" applyNumberFormat="1" applyBorder="1" applyAlignment="1">
      <alignment horizontal="left"/>
    </xf>
    <xf numFmtId="0" fontId="2" fillId="3" borderId="2" xfId="0" applyFont="1" applyFill="1" applyBorder="1" applyAlignment="1">
      <alignment horizontal="right"/>
    </xf>
    <xf numFmtId="0" fontId="2" fillId="3" borderId="4" xfId="0" applyFont="1" applyFill="1" applyBorder="1" applyAlignment="1">
      <alignment horizontal="right"/>
    </xf>
    <xf numFmtId="0" fontId="0" fillId="0" borderId="4" xfId="0" applyBorder="1" applyAlignment="1">
      <alignment horizontal="left"/>
    </xf>
    <xf numFmtId="14" fontId="0" fillId="0" borderId="3" xfId="0" applyNumberFormat="1" applyBorder="1" applyAlignment="1">
      <alignment horizontal="left"/>
    </xf>
    <xf numFmtId="14" fontId="0" fillId="0" borderId="14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3" xfId="0" applyBorder="1" applyAlignment="1">
      <alignment horizontal="left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right"/>
    </xf>
    <xf numFmtId="0" fontId="0" fillId="0" borderId="13" xfId="0" applyBorder="1" applyAlignment="1">
      <alignment horizontal="center"/>
    </xf>
  </cellXfs>
  <cellStyles count="4">
    <cellStyle name="Millares" xfId="3" builtinId="3"/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0037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569208778480151E-2"/>
          <c:y val="1.706998513297726E-2"/>
          <c:w val="0.70602619742954664"/>
          <c:h val="0.89886944551511483"/>
        </c:manualLayout>
      </c:layout>
      <c:lineChart>
        <c:grouping val="standard"/>
        <c:varyColors val="0"/>
        <c:ser>
          <c:idx val="1"/>
          <c:order val="0"/>
          <c:tx>
            <c:strRef>
              <c:f>'Plantilla Curva S'!$C$16</c:f>
              <c:strCache>
                <c:ptCount val="1"/>
                <c:pt idx="0">
                  <c:v>Valor Planificado Acumulado</c:v>
                </c:pt>
              </c:strCache>
            </c:strRef>
          </c:tx>
          <c:marker>
            <c:symbol val="none"/>
          </c:marker>
          <c:cat>
            <c:numRef>
              <c:f>'Plantilla Curva S'!$D$14:$O$14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'Plantilla Curva S'!$D$16:$O$16</c:f>
              <c:numCache>
                <c:formatCode>_-"$"* #,##0.00_-;\-"$"* #,##0.00_-;_-"$"* "-"??_-;_-@_-</c:formatCode>
                <c:ptCount val="12"/>
                <c:pt idx="0">
                  <c:v>14000</c:v>
                </c:pt>
                <c:pt idx="1">
                  <c:v>30000</c:v>
                </c:pt>
                <c:pt idx="2">
                  <c:v>50000</c:v>
                </c:pt>
                <c:pt idx="3">
                  <c:v>75000</c:v>
                </c:pt>
                <c:pt idx="4">
                  <c:v>102000</c:v>
                </c:pt>
                <c:pt idx="5">
                  <c:v>135000</c:v>
                </c:pt>
                <c:pt idx="6">
                  <c:v>171000</c:v>
                </c:pt>
                <c:pt idx="7">
                  <c:v>210000</c:v>
                </c:pt>
                <c:pt idx="8">
                  <c:v>245000</c:v>
                </c:pt>
                <c:pt idx="9">
                  <c:v>270000</c:v>
                </c:pt>
                <c:pt idx="10">
                  <c:v>287000</c:v>
                </c:pt>
                <c:pt idx="11">
                  <c:v>300000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6E-4092-A810-F1B32C16C439}"/>
            </c:ext>
          </c:extLst>
        </c:ser>
        <c:ser>
          <c:idx val="3"/>
          <c:order val="1"/>
          <c:tx>
            <c:strRef>
              <c:f>'Plantilla Curva S'!$C$18</c:f>
              <c:strCache>
                <c:ptCount val="1"/>
                <c:pt idx="0">
                  <c:v>Costo Real Acumulado</c:v>
                </c:pt>
              </c:strCache>
            </c:strRef>
          </c:tx>
          <c:marker>
            <c:symbol val="none"/>
          </c:marker>
          <c:cat>
            <c:numRef>
              <c:f>'Plantilla Curva S'!$D$14:$O$14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'Plantilla Curva S'!$D$18:$O$18</c:f>
              <c:numCache>
                <c:formatCode>_-"$"* #,##0.00_-;\-"$"* #,##0.00_-;_-"$"* "-"??_-;_-@_-</c:formatCode>
                <c:ptCount val="12"/>
                <c:pt idx="0">
                  <c:v>13600</c:v>
                </c:pt>
                <c:pt idx="1">
                  <c:v>28699</c:v>
                </c:pt>
                <c:pt idx="2">
                  <c:v>46694</c:v>
                </c:pt>
                <c:pt idx="3">
                  <c:v>68686</c:v>
                </c:pt>
                <c:pt idx="4">
                  <c:v>68686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6E-4092-A810-F1B32C16C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171456"/>
        <c:axId val="193172992"/>
      </c:lineChart>
      <c:catAx>
        <c:axId val="1931714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3172992"/>
        <c:crosses val="autoZero"/>
        <c:auto val="1"/>
        <c:lblAlgn val="ctr"/>
        <c:lblOffset val="100"/>
        <c:noMultiLvlLbl val="0"/>
      </c:catAx>
      <c:valAx>
        <c:axId val="193172992"/>
        <c:scaling>
          <c:orientation val="minMax"/>
        </c:scaling>
        <c:delete val="0"/>
        <c:axPos val="l"/>
        <c:majorGridlines/>
        <c:numFmt formatCode="_-&quot;$&quot;* #,##0.00_-;\-&quot;$&quot;* #,##0.00_-;_-&quot;$&quot;* &quot;-&quot;??_-;_-@_-" sourceLinked="1"/>
        <c:majorTickMark val="out"/>
        <c:minorTickMark val="none"/>
        <c:tickLblPos val="nextTo"/>
        <c:crossAx val="1931714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569208778480151E-2"/>
          <c:y val="1.706998513297726E-2"/>
          <c:w val="0.70602619742954664"/>
          <c:h val="0.89886944551511483"/>
        </c:manualLayout>
      </c:layout>
      <c:lineChart>
        <c:grouping val="standard"/>
        <c:varyColors val="0"/>
        <c:ser>
          <c:idx val="1"/>
          <c:order val="0"/>
          <c:tx>
            <c:strRef>
              <c:f>Ejemplo!$C$16</c:f>
              <c:strCache>
                <c:ptCount val="1"/>
                <c:pt idx="0">
                  <c:v>Valor Planificado Acumulado</c:v>
                </c:pt>
              </c:strCache>
            </c:strRef>
          </c:tx>
          <c:marker>
            <c:symbol val="none"/>
          </c:marker>
          <c:cat>
            <c:numRef>
              <c:f>Ejemplo!$D$14:$O$14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Ejemplo!$D$16:$O$16</c:f>
              <c:numCache>
                <c:formatCode>_-"$"* #,##0_-;\-"$"* #,##0_-;_-"$"* "-"??_-;_-@_-</c:formatCode>
                <c:ptCount val="12"/>
                <c:pt idx="0">
                  <c:v>20000</c:v>
                </c:pt>
                <c:pt idx="1">
                  <c:v>60000</c:v>
                </c:pt>
                <c:pt idx="2">
                  <c:v>120000</c:v>
                </c:pt>
                <c:pt idx="3">
                  <c:v>200000</c:v>
                </c:pt>
                <c:pt idx="4">
                  <c:v>320000</c:v>
                </c:pt>
                <c:pt idx="5">
                  <c:v>460000</c:v>
                </c:pt>
                <c:pt idx="6">
                  <c:v>620000</c:v>
                </c:pt>
                <c:pt idx="7">
                  <c:v>800000</c:v>
                </c:pt>
                <c:pt idx="8">
                  <c:v>980000</c:v>
                </c:pt>
                <c:pt idx="9">
                  <c:v>1100000</c:v>
                </c:pt>
                <c:pt idx="10">
                  <c:v>1180000</c:v>
                </c:pt>
                <c:pt idx="11">
                  <c:v>1220000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87-437D-8FD2-1C88788F654F}"/>
            </c:ext>
          </c:extLst>
        </c:ser>
        <c:ser>
          <c:idx val="3"/>
          <c:order val="1"/>
          <c:tx>
            <c:strRef>
              <c:f>Ejemplo!$C$18</c:f>
              <c:strCache>
                <c:ptCount val="1"/>
                <c:pt idx="0">
                  <c:v>Costo Real Acumulado</c:v>
                </c:pt>
              </c:strCache>
            </c:strRef>
          </c:tx>
          <c:marker>
            <c:symbol val="none"/>
          </c:marker>
          <c:cat>
            <c:numRef>
              <c:f>Ejemplo!$D$14:$O$14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Ejemplo!$D$18:$O$18</c:f>
              <c:numCache>
                <c:formatCode>_-"$"* #,##0_-;\-"$"* #,##0_-;_-"$"* "-"??_-;_-@_-</c:formatCode>
                <c:ptCount val="12"/>
                <c:pt idx="0">
                  <c:v>20000</c:v>
                </c:pt>
                <c:pt idx="1">
                  <c:v>40000</c:v>
                </c:pt>
                <c:pt idx="2">
                  <c:v>80000</c:v>
                </c:pt>
                <c:pt idx="3">
                  <c:v>140000</c:v>
                </c:pt>
                <c:pt idx="4">
                  <c:v>220000</c:v>
                </c:pt>
                <c:pt idx="5">
                  <c:v>320000</c:v>
                </c:pt>
                <c:pt idx="6">
                  <c:v>470000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87-437D-8FD2-1C88788F6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911808"/>
        <c:axId val="194196224"/>
      </c:lineChart>
      <c:catAx>
        <c:axId val="1939118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4196224"/>
        <c:crosses val="autoZero"/>
        <c:auto val="1"/>
        <c:lblAlgn val="ctr"/>
        <c:lblOffset val="100"/>
        <c:noMultiLvlLbl val="0"/>
      </c:catAx>
      <c:valAx>
        <c:axId val="194196224"/>
        <c:scaling>
          <c:orientation val="minMax"/>
        </c:scaling>
        <c:delete val="0"/>
        <c:axPos val="l"/>
        <c:majorGridlines/>
        <c:numFmt formatCode="_-&quot;$&quot;* #,##0_-;\-&quot;$&quot;* #,##0_-;_-&quot;$&quot;* &quot;-&quot;??_-;_-@_-" sourceLinked="1"/>
        <c:majorTickMark val="out"/>
        <c:minorTickMark val="none"/>
        <c:tickLblPos val="nextTo"/>
        <c:crossAx val="1939118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388621</xdr:colOff>
      <xdr:row>0</xdr:row>
      <xdr:rowOff>0</xdr:rowOff>
    </xdr:from>
    <xdr:to>
      <xdr:col>1</xdr:col>
      <xdr:colOff>723901</xdr:colOff>
      <xdr:row>4</xdr:row>
      <xdr:rowOff>88027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8621" y="0"/>
          <a:ext cx="876300" cy="9033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746125</xdr:colOff>
      <xdr:row>18</xdr:row>
      <xdr:rowOff>142875</xdr:rowOff>
    </xdr:from>
    <xdr:to>
      <xdr:col>12</xdr:col>
      <xdr:colOff>206375</xdr:colOff>
      <xdr:row>42</xdr:row>
      <xdr:rowOff>111125</xdr:rowOff>
    </xdr:to>
    <xdr:graphicFrame macro="">
      <xdr:nvGraphicFramePr>
        <xdr:cNvPr id="4" name="3 Gráfic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304802</xdr:colOff>
      <xdr:row>1</xdr:row>
      <xdr:rowOff>67734</xdr:rowOff>
    </xdr:from>
    <xdr:to>
      <xdr:col>2</xdr:col>
      <xdr:colOff>1134533</xdr:colOff>
      <xdr:row>5</xdr:row>
      <xdr:rowOff>161013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0802" y="262467"/>
          <a:ext cx="829731" cy="84681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793750</xdr:colOff>
      <xdr:row>18</xdr:row>
      <xdr:rowOff>57150</xdr:rowOff>
    </xdr:from>
    <xdr:to>
      <xdr:col>13</xdr:col>
      <xdr:colOff>568325</xdr:colOff>
      <xdr:row>42</xdr:row>
      <xdr:rowOff>25400</xdr:rowOff>
    </xdr:to>
    <xdr:graphicFrame macro="">
      <xdr:nvGraphicFramePr>
        <xdr:cNvPr id="3" name="2 Gráfic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1079500</xdr:colOff>
      <xdr:row>1</xdr:row>
      <xdr:rowOff>34106</xdr:rowOff>
    </xdr:from>
    <xdr:to>
      <xdr:col>3</xdr:col>
      <xdr:colOff>222250</xdr:colOff>
      <xdr:row>5</xdr:row>
      <xdr:rowOff>104774</xdr:rowOff>
    </xdr:to>
    <xdr:pic>
      <xdr:nvPicPr>
        <xdr:cNvPr id="4097" name="Picture 1" descr="C:\Users\francysr\Desktop\logo_PM4R Cloud.png">
          <a:extLst>
            <a:ext uri="{FF2B5EF4-FFF2-40B4-BE49-F238E27FC236}">
              <a16:creationId xmlns:a16="http://schemas.microsoft.com/office/drawing/2014/main" id="{00000000-0008-0000-0200-00000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" y="240481"/>
          <a:ext cx="2127250" cy="8485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6F9A9-FCEB-47B1-AE78-CF1A36A7E64B}">
  <dimension ref="A3:BJ46"/>
  <sheetViews>
    <sheetView tabSelected="1" topLeftCell="A5" zoomScaleNormal="100" workbookViewId="0">
      <pane xSplit="7" topLeftCell="H1" activePane="topRight" state="frozen"/>
      <selection pane="topRight" activeCell="G21" sqref="G21"/>
    </sheetView>
  </sheetViews>
  <sheetFormatPr defaultColWidth="11.42578125" defaultRowHeight="14.45"/>
  <cols>
    <col min="1" max="1" width="7.7109375" style="24" bestFit="1" customWidth="1"/>
    <col min="2" max="2" width="49" style="25" bestFit="1" customWidth="1"/>
    <col min="3" max="3" width="11.85546875" style="25" customWidth="1"/>
    <col min="4" max="4" width="13.5703125" style="25" customWidth="1"/>
    <col min="5" max="5" width="12.5703125" style="25" customWidth="1"/>
    <col min="6" max="6" width="12.7109375" style="25" customWidth="1"/>
    <col min="7" max="7" width="11.7109375" style="25" customWidth="1"/>
    <col min="8" max="8" width="12.140625" style="25" customWidth="1"/>
    <col min="9" max="9" width="12.28515625" style="25" customWidth="1"/>
    <col min="10" max="10" width="12.85546875" style="25" customWidth="1"/>
    <col min="11" max="11" width="12.28515625" style="25" customWidth="1"/>
    <col min="12" max="12" width="13" style="25" customWidth="1"/>
    <col min="13" max="13" width="12.7109375" style="25" customWidth="1"/>
    <col min="14" max="14" width="12" style="25" customWidth="1"/>
    <col min="15" max="62" width="10.42578125" style="25" customWidth="1"/>
    <col min="63" max="16384" width="11.42578125" style="25"/>
  </cols>
  <sheetData>
    <row r="3" spans="1:62" ht="21">
      <c r="D3" s="26" t="s">
        <v>0</v>
      </c>
    </row>
    <row r="6" spans="1:62" ht="15.6">
      <c r="A6" s="56" t="s">
        <v>1</v>
      </c>
      <c r="B6" s="56"/>
      <c r="C6" s="56"/>
      <c r="D6" s="56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</row>
    <row r="7" spans="1:62">
      <c r="A7" s="31" t="s">
        <v>2</v>
      </c>
      <c r="B7" s="31" t="s">
        <v>3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</row>
    <row r="8" spans="1:62">
      <c r="A8" s="57" t="s">
        <v>4</v>
      </c>
      <c r="B8" s="58"/>
      <c r="C8" s="33">
        <v>1</v>
      </c>
      <c r="D8" s="33">
        <v>2</v>
      </c>
      <c r="E8" s="33">
        <v>3</v>
      </c>
      <c r="F8" s="33">
        <v>4</v>
      </c>
      <c r="G8" s="33">
        <v>5</v>
      </c>
      <c r="H8" s="33">
        <v>6</v>
      </c>
      <c r="I8" s="33">
        <v>7</v>
      </c>
      <c r="J8" s="33">
        <v>8</v>
      </c>
      <c r="K8" s="33">
        <v>9</v>
      </c>
      <c r="L8" s="33">
        <v>10</v>
      </c>
      <c r="M8" s="33">
        <v>11</v>
      </c>
      <c r="N8" s="33">
        <v>12</v>
      </c>
      <c r="O8" s="33">
        <v>13</v>
      </c>
      <c r="P8" s="33">
        <v>14</v>
      </c>
      <c r="Q8" s="33">
        <v>15</v>
      </c>
      <c r="R8" s="33">
        <v>16</v>
      </c>
      <c r="S8" s="33">
        <v>17</v>
      </c>
      <c r="T8" s="33">
        <v>18</v>
      </c>
      <c r="U8" s="33">
        <v>19</v>
      </c>
      <c r="V8" s="33">
        <v>20</v>
      </c>
      <c r="W8" s="33">
        <v>21</v>
      </c>
      <c r="X8" s="33">
        <v>22</v>
      </c>
      <c r="Y8" s="33">
        <v>23</v>
      </c>
      <c r="Z8" s="33">
        <v>24</v>
      </c>
      <c r="AA8" s="33">
        <v>25</v>
      </c>
      <c r="AB8" s="33">
        <v>26</v>
      </c>
      <c r="AC8" s="33">
        <v>27</v>
      </c>
      <c r="AD8" s="33">
        <v>28</v>
      </c>
      <c r="AE8" s="33">
        <v>29</v>
      </c>
      <c r="AF8" s="33">
        <v>30</v>
      </c>
      <c r="AG8" s="33">
        <v>31</v>
      </c>
      <c r="AH8" s="33">
        <v>32</v>
      </c>
      <c r="AI8" s="33">
        <v>33</v>
      </c>
      <c r="AJ8" s="33">
        <v>34</v>
      </c>
      <c r="AK8" s="33">
        <v>35</v>
      </c>
      <c r="AL8" s="33">
        <v>36</v>
      </c>
      <c r="AM8" s="33">
        <v>37</v>
      </c>
      <c r="AN8" s="33">
        <v>38</v>
      </c>
      <c r="AO8" s="33">
        <v>39</v>
      </c>
      <c r="AP8" s="33">
        <v>40</v>
      </c>
      <c r="AQ8" s="33">
        <v>41</v>
      </c>
      <c r="AR8" s="33">
        <v>42</v>
      </c>
      <c r="AS8" s="33">
        <v>43</v>
      </c>
      <c r="AT8" s="33">
        <v>44</v>
      </c>
      <c r="AU8" s="33">
        <v>45</v>
      </c>
      <c r="AV8" s="33">
        <v>46</v>
      </c>
      <c r="AW8" s="33">
        <v>47</v>
      </c>
      <c r="AX8" s="33">
        <v>48</v>
      </c>
      <c r="AY8" s="33">
        <v>49</v>
      </c>
      <c r="AZ8" s="33">
        <v>50</v>
      </c>
      <c r="BA8" s="33">
        <v>51</v>
      </c>
      <c r="BB8" s="33">
        <v>52</v>
      </c>
      <c r="BC8" s="33">
        <v>53</v>
      </c>
      <c r="BD8" s="33">
        <v>54</v>
      </c>
      <c r="BE8" s="33">
        <v>55</v>
      </c>
      <c r="BF8" s="33">
        <v>56</v>
      </c>
      <c r="BG8" s="33">
        <v>57</v>
      </c>
      <c r="BH8" s="33">
        <v>58</v>
      </c>
      <c r="BI8" s="33">
        <v>59</v>
      </c>
      <c r="BJ8" s="33">
        <v>60</v>
      </c>
    </row>
    <row r="9" spans="1:62">
      <c r="A9" s="54" t="s">
        <v>5</v>
      </c>
      <c r="B9" s="55"/>
      <c r="C9" s="39">
        <v>14000</v>
      </c>
      <c r="D9" s="39">
        <v>16000</v>
      </c>
      <c r="E9" s="39">
        <v>20000</v>
      </c>
      <c r="F9" s="39">
        <v>25000</v>
      </c>
      <c r="G9" s="39">
        <v>27000</v>
      </c>
      <c r="H9" s="39">
        <v>33000</v>
      </c>
      <c r="I9" s="39">
        <v>36000</v>
      </c>
      <c r="J9" s="39">
        <v>39000</v>
      </c>
      <c r="K9" s="39">
        <v>35000</v>
      </c>
      <c r="L9" s="39">
        <v>25000</v>
      </c>
      <c r="M9" s="39">
        <v>17000</v>
      </c>
      <c r="N9" s="39">
        <v>13000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</row>
    <row r="10" spans="1:62">
      <c r="A10" s="29" t="s">
        <v>6</v>
      </c>
      <c r="B10" s="30" t="s">
        <v>7</v>
      </c>
      <c r="C10" s="41">
        <v>2000</v>
      </c>
      <c r="D10" s="42">
        <v>2500</v>
      </c>
      <c r="E10" s="41"/>
      <c r="F10" s="43"/>
      <c r="G10" s="43"/>
      <c r="H10" s="43"/>
      <c r="I10" s="43"/>
      <c r="J10" s="43"/>
      <c r="K10" s="43"/>
      <c r="L10" s="43"/>
      <c r="M10" s="43"/>
      <c r="N10" s="43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</row>
    <row r="11" spans="1:62">
      <c r="A11" s="29" t="s">
        <v>8</v>
      </c>
      <c r="B11" s="30" t="s">
        <v>9</v>
      </c>
      <c r="C11" s="41">
        <v>3500</v>
      </c>
      <c r="D11" s="41">
        <v>4000</v>
      </c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</row>
    <row r="12" spans="1:62">
      <c r="A12" s="29" t="s">
        <v>10</v>
      </c>
      <c r="B12" s="30" t="s">
        <v>11</v>
      </c>
      <c r="C12" s="41">
        <v>4000</v>
      </c>
      <c r="D12" s="41">
        <v>4499</v>
      </c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</row>
    <row r="13" spans="1:62">
      <c r="A13" s="49" t="s">
        <v>12</v>
      </c>
      <c r="B13" s="50" t="s">
        <v>13</v>
      </c>
      <c r="C13" s="41">
        <v>3000</v>
      </c>
      <c r="D13" s="41">
        <v>3000</v>
      </c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</row>
    <row r="14" spans="1:62">
      <c r="A14" s="49" t="s">
        <v>14</v>
      </c>
      <c r="B14" s="50" t="s">
        <v>15</v>
      </c>
      <c r="C14" s="41">
        <v>100</v>
      </c>
      <c r="D14" s="41">
        <v>100</v>
      </c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</row>
    <row r="15" spans="1:62">
      <c r="A15" s="49" t="s">
        <v>16</v>
      </c>
      <c r="B15" s="50" t="s">
        <v>17</v>
      </c>
      <c r="C15" s="41">
        <v>1000</v>
      </c>
      <c r="D15" s="41">
        <v>1000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</row>
    <row r="16" spans="1:62">
      <c r="A16" s="54" t="s">
        <v>18</v>
      </c>
      <c r="B16" s="55"/>
      <c r="C16" s="44"/>
      <c r="D16" s="45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38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</row>
    <row r="17" spans="1:62">
      <c r="A17" s="29" t="s">
        <v>19</v>
      </c>
      <c r="B17" s="30" t="s">
        <v>20</v>
      </c>
      <c r="C17" s="41"/>
      <c r="D17" s="41"/>
      <c r="E17" s="41">
        <v>1699</v>
      </c>
      <c r="F17" s="41">
        <v>2199</v>
      </c>
      <c r="G17" s="41"/>
      <c r="H17" s="41"/>
      <c r="I17" s="41"/>
      <c r="J17" s="41"/>
      <c r="K17" s="41"/>
      <c r="L17" s="41"/>
      <c r="M17" s="41"/>
      <c r="N17" s="41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</row>
    <row r="18" spans="1:62">
      <c r="A18" s="29" t="s">
        <v>21</v>
      </c>
      <c r="B18" s="30" t="s">
        <v>22</v>
      </c>
      <c r="C18" s="41"/>
      <c r="D18" s="41"/>
      <c r="E18" s="41">
        <v>2000</v>
      </c>
      <c r="F18" s="41">
        <v>2499</v>
      </c>
      <c r="G18" s="41"/>
      <c r="H18" s="41"/>
      <c r="I18" s="41"/>
      <c r="J18" s="41"/>
      <c r="K18" s="41"/>
      <c r="L18" s="41"/>
      <c r="M18" s="41"/>
      <c r="N18" s="41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</row>
    <row r="19" spans="1:62">
      <c r="A19" s="29" t="s">
        <v>23</v>
      </c>
      <c r="B19" s="30" t="s">
        <v>24</v>
      </c>
      <c r="C19" s="41"/>
      <c r="D19" s="41"/>
      <c r="E19" s="41">
        <v>2500</v>
      </c>
      <c r="F19" s="41">
        <v>3499</v>
      </c>
      <c r="G19" s="41"/>
      <c r="H19" s="41"/>
      <c r="I19" s="41"/>
      <c r="J19" s="41"/>
      <c r="K19" s="41"/>
      <c r="L19" s="41"/>
      <c r="M19" s="41"/>
      <c r="N19" s="41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</row>
    <row r="20" spans="1:62">
      <c r="A20" s="29" t="s">
        <v>25</v>
      </c>
      <c r="B20" s="30" t="s">
        <v>26</v>
      </c>
      <c r="C20" s="41"/>
      <c r="D20" s="41"/>
      <c r="E20" s="41">
        <v>1499</v>
      </c>
      <c r="F20" s="41">
        <v>1999</v>
      </c>
      <c r="G20" s="41"/>
      <c r="H20" s="41"/>
      <c r="I20" s="41"/>
      <c r="J20" s="41"/>
      <c r="K20" s="41"/>
      <c r="L20" s="41"/>
      <c r="M20" s="41"/>
      <c r="N20" s="41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</row>
    <row r="21" spans="1:62">
      <c r="A21" s="49" t="s">
        <v>27</v>
      </c>
      <c r="B21" s="50" t="s">
        <v>28</v>
      </c>
      <c r="C21" s="41"/>
      <c r="D21" s="41"/>
      <c r="E21" s="41">
        <v>100</v>
      </c>
      <c r="F21" s="41">
        <v>100</v>
      </c>
      <c r="G21" s="41"/>
      <c r="H21" s="41"/>
      <c r="I21" s="41"/>
      <c r="J21" s="41"/>
      <c r="K21" s="41"/>
      <c r="L21" s="41"/>
      <c r="M21" s="41"/>
      <c r="N21" s="41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</row>
    <row r="22" spans="1:62">
      <c r="A22" s="49" t="s">
        <v>29</v>
      </c>
      <c r="B22" s="50" t="s">
        <v>30</v>
      </c>
      <c r="C22" s="41"/>
      <c r="D22" s="41"/>
      <c r="E22" s="41">
        <v>1500</v>
      </c>
      <c r="F22" s="41">
        <v>1500</v>
      </c>
      <c r="G22" s="41"/>
      <c r="H22" s="41"/>
      <c r="I22" s="41"/>
      <c r="J22" s="41"/>
      <c r="K22" s="41"/>
      <c r="L22" s="41"/>
      <c r="M22" s="41"/>
      <c r="N22" s="41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</row>
    <row r="23" spans="1:62">
      <c r="A23" s="49" t="s">
        <v>31</v>
      </c>
      <c r="B23" s="50" t="s">
        <v>32</v>
      </c>
      <c r="C23" s="41"/>
      <c r="D23" s="41"/>
      <c r="E23" s="41">
        <v>2499</v>
      </c>
      <c r="F23" s="41">
        <v>2499</v>
      </c>
      <c r="G23" s="41"/>
      <c r="H23" s="41"/>
      <c r="I23" s="41"/>
      <c r="J23" s="41"/>
      <c r="K23" s="41"/>
      <c r="L23" s="41"/>
      <c r="M23" s="41"/>
      <c r="N23" s="41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</row>
    <row r="24" spans="1:62">
      <c r="A24" s="49" t="s">
        <v>33</v>
      </c>
      <c r="B24" s="50" t="s">
        <v>34</v>
      </c>
      <c r="C24" s="41"/>
      <c r="D24" s="41"/>
      <c r="E24" s="41">
        <v>1999</v>
      </c>
      <c r="F24" s="41">
        <v>2499</v>
      </c>
      <c r="G24" s="41"/>
      <c r="H24" s="41"/>
      <c r="I24" s="41"/>
      <c r="J24" s="41"/>
      <c r="K24" s="41"/>
      <c r="L24" s="41"/>
      <c r="M24" s="41"/>
      <c r="N24" s="41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</row>
    <row r="25" spans="1:62">
      <c r="A25" s="49" t="s">
        <v>35</v>
      </c>
      <c r="B25" s="50" t="s">
        <v>36</v>
      </c>
      <c r="C25" s="41"/>
      <c r="D25" s="41"/>
      <c r="E25" s="41">
        <v>1000</v>
      </c>
      <c r="F25" s="41">
        <v>1499</v>
      </c>
      <c r="G25" s="41"/>
      <c r="H25" s="41"/>
      <c r="I25" s="41"/>
      <c r="J25" s="41"/>
      <c r="K25" s="41"/>
      <c r="L25" s="41"/>
      <c r="M25" s="41"/>
      <c r="N25" s="41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</row>
    <row r="26" spans="1:62">
      <c r="A26" s="49" t="s">
        <v>37</v>
      </c>
      <c r="B26" s="50" t="s">
        <v>38</v>
      </c>
      <c r="C26" s="41"/>
      <c r="D26" s="41"/>
      <c r="E26" s="41">
        <v>2000</v>
      </c>
      <c r="F26" s="41">
        <v>2500</v>
      </c>
      <c r="G26" s="41"/>
      <c r="H26" s="41"/>
      <c r="I26" s="41"/>
      <c r="J26" s="41"/>
      <c r="K26" s="41"/>
      <c r="L26" s="41"/>
      <c r="M26" s="41"/>
      <c r="N26" s="41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6"/>
    </row>
    <row r="27" spans="1:62">
      <c r="A27" s="49" t="s">
        <v>39</v>
      </c>
      <c r="B27" s="50" t="s">
        <v>40</v>
      </c>
      <c r="C27" s="41"/>
      <c r="D27" s="41"/>
      <c r="E27" s="41">
        <v>1199</v>
      </c>
      <c r="F27" s="41">
        <v>1199</v>
      </c>
      <c r="G27" s="41"/>
      <c r="H27" s="41"/>
      <c r="I27" s="41"/>
      <c r="J27" s="41"/>
      <c r="K27" s="41"/>
      <c r="L27" s="41"/>
      <c r="M27" s="41"/>
      <c r="N27" s="41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</row>
    <row r="28" spans="1:62">
      <c r="A28" s="54" t="s">
        <v>41</v>
      </c>
      <c r="B28" s="55"/>
      <c r="C28" s="44"/>
      <c r="D28" s="45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38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</row>
    <row r="29" spans="1:62">
      <c r="A29" s="29" t="s">
        <v>19</v>
      </c>
      <c r="B29" s="30" t="s">
        <v>42</v>
      </c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</row>
    <row r="30" spans="1:62">
      <c r="A30" s="29" t="s">
        <v>21</v>
      </c>
      <c r="B30" s="30" t="s">
        <v>43</v>
      </c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  <c r="BH30" s="36"/>
      <c r="BI30" s="36"/>
      <c r="BJ30" s="36"/>
    </row>
    <row r="31" spans="1:62">
      <c r="A31" s="29" t="s">
        <v>23</v>
      </c>
      <c r="B31" s="30" t="s">
        <v>44</v>
      </c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36"/>
      <c r="BH31" s="36"/>
      <c r="BI31" s="36"/>
      <c r="BJ31" s="36"/>
    </row>
    <row r="32" spans="1:62">
      <c r="A32" s="54" t="s">
        <v>45</v>
      </c>
      <c r="B32" s="55"/>
      <c r="C32" s="44"/>
      <c r="D32" s="45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8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</row>
    <row r="33" spans="1:62">
      <c r="A33" s="29" t="s">
        <v>19</v>
      </c>
      <c r="B33" s="30" t="s">
        <v>46</v>
      </c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/>
    </row>
    <row r="34" spans="1:62">
      <c r="A34" s="29" t="s">
        <v>21</v>
      </c>
      <c r="B34" s="30" t="s">
        <v>47</v>
      </c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</row>
    <row r="35" spans="1:62">
      <c r="A35" s="54" t="s">
        <v>48</v>
      </c>
      <c r="B35" s="55"/>
      <c r="C35" s="44"/>
      <c r="D35" s="45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</row>
    <row r="36" spans="1:62">
      <c r="A36" s="29" t="s">
        <v>19</v>
      </c>
      <c r="B36" s="30" t="s">
        <v>49</v>
      </c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</row>
    <row r="37" spans="1:62">
      <c r="A37" s="29" t="s">
        <v>21</v>
      </c>
      <c r="B37" s="30" t="s">
        <v>50</v>
      </c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</row>
    <row r="38" spans="1:62">
      <c r="A38" s="29" t="s">
        <v>23</v>
      </c>
      <c r="B38" s="30" t="s">
        <v>51</v>
      </c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</row>
    <row r="39" spans="1:62">
      <c r="A39" s="29" t="s">
        <v>52</v>
      </c>
      <c r="B39" s="30" t="s">
        <v>53</v>
      </c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36"/>
      <c r="BH39" s="36"/>
      <c r="BI39" s="36"/>
      <c r="BJ39" s="36"/>
    </row>
    <row r="40" spans="1:62">
      <c r="A40" s="29" t="s">
        <v>54</v>
      </c>
      <c r="B40" s="30" t="s">
        <v>55</v>
      </c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</row>
    <row r="41" spans="1:62">
      <c r="B41" s="34" t="s">
        <v>56</v>
      </c>
      <c r="C41" s="46">
        <f t="shared" ref="C41:AH41" si="0">SUM(C10:C31)</f>
        <v>13600</v>
      </c>
      <c r="D41" s="46">
        <f t="shared" si="0"/>
        <v>15099</v>
      </c>
      <c r="E41" s="46">
        <f t="shared" si="0"/>
        <v>17995</v>
      </c>
      <c r="F41" s="46">
        <f t="shared" si="0"/>
        <v>21992</v>
      </c>
      <c r="G41" s="46">
        <f t="shared" si="0"/>
        <v>0</v>
      </c>
      <c r="H41" s="46">
        <f t="shared" si="0"/>
        <v>0</v>
      </c>
      <c r="I41" s="46">
        <f t="shared" si="0"/>
        <v>0</v>
      </c>
      <c r="J41" s="46">
        <f t="shared" si="0"/>
        <v>0</v>
      </c>
      <c r="K41" s="46">
        <f t="shared" si="0"/>
        <v>0</v>
      </c>
      <c r="L41" s="46">
        <f t="shared" si="0"/>
        <v>0</v>
      </c>
      <c r="M41" s="46">
        <f t="shared" si="0"/>
        <v>0</v>
      </c>
      <c r="N41" s="46">
        <f t="shared" si="0"/>
        <v>0</v>
      </c>
      <c r="O41" s="35">
        <f t="shared" si="0"/>
        <v>0</v>
      </c>
      <c r="P41" s="35">
        <f t="shared" si="0"/>
        <v>0</v>
      </c>
      <c r="Q41" s="35">
        <f t="shared" si="0"/>
        <v>0</v>
      </c>
      <c r="R41" s="35">
        <f t="shared" si="0"/>
        <v>0</v>
      </c>
      <c r="S41" s="35">
        <f t="shared" si="0"/>
        <v>0</v>
      </c>
      <c r="T41" s="35">
        <f t="shared" si="0"/>
        <v>0</v>
      </c>
      <c r="U41" s="35">
        <f t="shared" si="0"/>
        <v>0</v>
      </c>
      <c r="V41" s="35">
        <f t="shared" si="0"/>
        <v>0</v>
      </c>
      <c r="W41" s="35">
        <f t="shared" si="0"/>
        <v>0</v>
      </c>
      <c r="X41" s="35">
        <f t="shared" si="0"/>
        <v>0</v>
      </c>
      <c r="Y41" s="35">
        <f t="shared" si="0"/>
        <v>0</v>
      </c>
      <c r="Z41" s="35">
        <f t="shared" si="0"/>
        <v>0</v>
      </c>
      <c r="AA41" s="35">
        <f t="shared" si="0"/>
        <v>0</v>
      </c>
      <c r="AB41" s="35">
        <f t="shared" si="0"/>
        <v>0</v>
      </c>
      <c r="AC41" s="35">
        <f t="shared" si="0"/>
        <v>0</v>
      </c>
      <c r="AD41" s="35">
        <f t="shared" si="0"/>
        <v>0</v>
      </c>
      <c r="AE41" s="35">
        <f t="shared" si="0"/>
        <v>0</v>
      </c>
      <c r="AF41" s="35">
        <f t="shared" si="0"/>
        <v>0</v>
      </c>
      <c r="AG41" s="35">
        <f t="shared" si="0"/>
        <v>0</v>
      </c>
      <c r="AH41" s="35">
        <f t="shared" si="0"/>
        <v>0</v>
      </c>
      <c r="AI41" s="35">
        <f t="shared" ref="AI41:BJ41" si="1">SUM(AI10:AI31)</f>
        <v>0</v>
      </c>
      <c r="AJ41" s="35">
        <f t="shared" si="1"/>
        <v>0</v>
      </c>
      <c r="AK41" s="35">
        <f t="shared" si="1"/>
        <v>0</v>
      </c>
      <c r="AL41" s="35">
        <f t="shared" si="1"/>
        <v>0</v>
      </c>
      <c r="AM41" s="35">
        <f t="shared" si="1"/>
        <v>0</v>
      </c>
      <c r="AN41" s="35">
        <f t="shared" si="1"/>
        <v>0</v>
      </c>
      <c r="AO41" s="35">
        <f t="shared" si="1"/>
        <v>0</v>
      </c>
      <c r="AP41" s="35">
        <f t="shared" si="1"/>
        <v>0</v>
      </c>
      <c r="AQ41" s="35">
        <f t="shared" si="1"/>
        <v>0</v>
      </c>
      <c r="AR41" s="35">
        <f t="shared" si="1"/>
        <v>0</v>
      </c>
      <c r="AS41" s="35">
        <f t="shared" si="1"/>
        <v>0</v>
      </c>
      <c r="AT41" s="35">
        <f t="shared" si="1"/>
        <v>0</v>
      </c>
      <c r="AU41" s="35">
        <f t="shared" si="1"/>
        <v>0</v>
      </c>
      <c r="AV41" s="35">
        <f t="shared" si="1"/>
        <v>0</v>
      </c>
      <c r="AW41" s="35">
        <f t="shared" si="1"/>
        <v>0</v>
      </c>
      <c r="AX41" s="35">
        <f t="shared" si="1"/>
        <v>0</v>
      </c>
      <c r="AY41" s="35">
        <f t="shared" si="1"/>
        <v>0</v>
      </c>
      <c r="AZ41" s="35">
        <f t="shared" si="1"/>
        <v>0</v>
      </c>
      <c r="BA41" s="35">
        <f t="shared" si="1"/>
        <v>0</v>
      </c>
      <c r="BB41" s="35">
        <f t="shared" si="1"/>
        <v>0</v>
      </c>
      <c r="BC41" s="35">
        <f t="shared" si="1"/>
        <v>0</v>
      </c>
      <c r="BD41" s="35">
        <f t="shared" si="1"/>
        <v>0</v>
      </c>
      <c r="BE41" s="35">
        <f t="shared" si="1"/>
        <v>0</v>
      </c>
      <c r="BF41" s="35">
        <f t="shared" si="1"/>
        <v>0</v>
      </c>
      <c r="BG41" s="35">
        <f t="shared" si="1"/>
        <v>0</v>
      </c>
      <c r="BH41" s="35">
        <f t="shared" si="1"/>
        <v>0</v>
      </c>
      <c r="BI41" s="35">
        <f t="shared" si="1"/>
        <v>0</v>
      </c>
      <c r="BJ41" s="35">
        <f t="shared" si="1"/>
        <v>0</v>
      </c>
    </row>
    <row r="42" spans="1:62">
      <c r="O42" s="37"/>
    </row>
    <row r="43" spans="1:62">
      <c r="F43" s="48"/>
    </row>
    <row r="44" spans="1:62">
      <c r="E44" s="40"/>
      <c r="F44" s="47"/>
    </row>
    <row r="46" spans="1:62">
      <c r="D46" s="40"/>
    </row>
  </sheetData>
  <mergeCells count="7">
    <mergeCell ref="A32:B32"/>
    <mergeCell ref="A35:B35"/>
    <mergeCell ref="A6:D6"/>
    <mergeCell ref="A8:B8"/>
    <mergeCell ref="A16:B16"/>
    <mergeCell ref="A28:B28"/>
    <mergeCell ref="A9:B9"/>
  </mergeCells>
  <phoneticPr fontId="11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44"/>
  <sheetViews>
    <sheetView showGridLines="0" topLeftCell="C1" zoomScale="104" zoomScaleNormal="90" workbookViewId="0">
      <selection activeCell="N26" sqref="N26"/>
    </sheetView>
  </sheetViews>
  <sheetFormatPr defaultColWidth="11.42578125" defaultRowHeight="14.45"/>
  <cols>
    <col min="2" max="2" width="3.28515625" customWidth="1"/>
    <col min="3" max="3" width="44.7109375" bestFit="1" customWidth="1"/>
    <col min="4" max="4" width="16.7109375" customWidth="1"/>
    <col min="5" max="5" width="16.140625" bestFit="1" customWidth="1"/>
    <col min="6" max="6" width="17.42578125" customWidth="1"/>
    <col min="7" max="8" width="14.7109375" bestFit="1" customWidth="1"/>
    <col min="9" max="9" width="14.42578125" bestFit="1" customWidth="1"/>
    <col min="10" max="10" width="16.42578125" bestFit="1" customWidth="1"/>
    <col min="11" max="11" width="14.42578125" bestFit="1" customWidth="1"/>
    <col min="12" max="12" width="16.42578125" bestFit="1" customWidth="1"/>
    <col min="13" max="14" width="15.42578125" bestFit="1" customWidth="1"/>
    <col min="15" max="15" width="16.7109375" customWidth="1"/>
    <col min="16" max="16" width="3.28515625" customWidth="1"/>
  </cols>
  <sheetData>
    <row r="1" spans="2:15" ht="15" thickBot="1"/>
    <row r="2" spans="2:15" ht="15" thickTop="1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2:15">
      <c r="B3" s="5"/>
      <c r="O3" s="6"/>
    </row>
    <row r="4" spans="2:15">
      <c r="B4" s="5"/>
      <c r="O4" s="6"/>
    </row>
    <row r="5" spans="2:15">
      <c r="B5" s="5"/>
      <c r="O5" s="6"/>
    </row>
    <row r="6" spans="2:15">
      <c r="B6" s="5"/>
      <c r="O6" s="6"/>
    </row>
    <row r="7" spans="2:15" ht="21">
      <c r="B7" s="5"/>
      <c r="C7" s="61" t="s">
        <v>57</v>
      </c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2:15">
      <c r="B8" s="5"/>
      <c r="O8" s="6"/>
    </row>
    <row r="9" spans="2:15">
      <c r="B9" s="5"/>
      <c r="C9" s="53" t="s">
        <v>58</v>
      </c>
      <c r="D9" s="17" t="s">
        <v>59</v>
      </c>
      <c r="E9" s="18"/>
      <c r="F9" s="18"/>
      <c r="G9" s="18"/>
      <c r="H9" s="18"/>
      <c r="I9" s="18"/>
      <c r="J9" s="18"/>
      <c r="K9" s="18"/>
      <c r="L9" s="18"/>
      <c r="M9" s="18"/>
      <c r="N9" s="18"/>
      <c r="O9" s="19"/>
    </row>
    <row r="10" spans="2:15">
      <c r="B10" s="5"/>
      <c r="C10" s="53" t="s">
        <v>60</v>
      </c>
      <c r="D10" s="63" t="s">
        <v>61</v>
      </c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5"/>
    </row>
    <row r="11" spans="2:15">
      <c r="B11" s="5"/>
      <c r="C11" s="53" t="s">
        <v>62</v>
      </c>
      <c r="D11" s="66">
        <v>46054</v>
      </c>
      <c r="E11" s="67"/>
      <c r="F11" s="68" t="s">
        <v>63</v>
      </c>
      <c r="G11" s="69"/>
      <c r="H11" s="63" t="s">
        <v>64</v>
      </c>
      <c r="I11" s="64"/>
      <c r="J11" s="70"/>
      <c r="K11" s="68" t="s">
        <v>65</v>
      </c>
      <c r="L11" s="69"/>
      <c r="M11" s="66" t="s">
        <v>66</v>
      </c>
      <c r="N11" s="71"/>
      <c r="O11" s="72"/>
    </row>
    <row r="12" spans="2:15">
      <c r="B12" s="5"/>
      <c r="C12" s="12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5"/>
    </row>
    <row r="13" spans="2:15">
      <c r="B13" s="5"/>
      <c r="C13" s="20"/>
      <c r="D13" s="59" t="s">
        <v>67</v>
      </c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60"/>
    </row>
    <row r="14" spans="2:15">
      <c r="B14" s="5"/>
      <c r="C14" s="53" t="s">
        <v>4</v>
      </c>
      <c r="D14" s="51">
        <v>1</v>
      </c>
      <c r="E14" s="51">
        <v>2</v>
      </c>
      <c r="F14" s="51">
        <v>3</v>
      </c>
      <c r="G14" s="51">
        <v>4</v>
      </c>
      <c r="H14" s="51">
        <v>5</v>
      </c>
      <c r="I14" s="51">
        <v>6</v>
      </c>
      <c r="J14" s="51">
        <v>7</v>
      </c>
      <c r="K14" s="51">
        <v>8</v>
      </c>
      <c r="L14" s="51">
        <v>9</v>
      </c>
      <c r="M14" s="51">
        <v>10</v>
      </c>
      <c r="N14" s="51">
        <v>11</v>
      </c>
      <c r="O14" s="51">
        <v>12</v>
      </c>
    </row>
    <row r="15" spans="2:15">
      <c r="B15" s="5"/>
      <c r="C15" s="53" t="s">
        <v>68</v>
      </c>
      <c r="D15" s="1">
        <f>'Detalle de Costos'!C9</f>
        <v>14000</v>
      </c>
      <c r="E15" s="1">
        <f>'Detalle de Costos'!D9</f>
        <v>16000</v>
      </c>
      <c r="F15" s="1">
        <f>'Detalle de Costos'!E9</f>
        <v>20000</v>
      </c>
      <c r="G15" s="1">
        <f>'Detalle de Costos'!F9</f>
        <v>25000</v>
      </c>
      <c r="H15" s="1">
        <f>'Detalle de Costos'!G9</f>
        <v>27000</v>
      </c>
      <c r="I15" s="1">
        <f>'Detalle de Costos'!H9</f>
        <v>33000</v>
      </c>
      <c r="J15" s="1">
        <f>'Detalle de Costos'!I9</f>
        <v>36000</v>
      </c>
      <c r="K15" s="1">
        <f>'Detalle de Costos'!J9</f>
        <v>39000</v>
      </c>
      <c r="L15" s="1">
        <f>'Detalle de Costos'!K9</f>
        <v>35000</v>
      </c>
      <c r="M15" s="1">
        <f>'Detalle de Costos'!L9</f>
        <v>25000</v>
      </c>
      <c r="N15" s="1">
        <f>'Detalle de Costos'!M9</f>
        <v>17000</v>
      </c>
      <c r="O15" s="1">
        <f>'Detalle de Costos'!N9</f>
        <v>13000</v>
      </c>
    </row>
    <row r="16" spans="2:15">
      <c r="B16" s="5"/>
      <c r="C16" s="53" t="s">
        <v>69</v>
      </c>
      <c r="D16" s="16">
        <f>D15</f>
        <v>14000</v>
      </c>
      <c r="E16" s="1">
        <f>E15+D16</f>
        <v>30000</v>
      </c>
      <c r="F16" s="1">
        <f t="shared" ref="F16:O16" si="0">F15+E16</f>
        <v>50000</v>
      </c>
      <c r="G16" s="1">
        <f t="shared" si="0"/>
        <v>75000</v>
      </c>
      <c r="H16" s="1">
        <f t="shared" si="0"/>
        <v>102000</v>
      </c>
      <c r="I16" s="1">
        <f t="shared" si="0"/>
        <v>135000</v>
      </c>
      <c r="J16" s="1">
        <f t="shared" si="0"/>
        <v>171000</v>
      </c>
      <c r="K16" s="1">
        <f t="shared" si="0"/>
        <v>210000</v>
      </c>
      <c r="L16" s="1">
        <f t="shared" si="0"/>
        <v>245000</v>
      </c>
      <c r="M16" s="1">
        <f t="shared" si="0"/>
        <v>270000</v>
      </c>
      <c r="N16" s="1">
        <f t="shared" si="0"/>
        <v>287000</v>
      </c>
      <c r="O16" s="1">
        <f t="shared" si="0"/>
        <v>300000</v>
      </c>
    </row>
    <row r="17" spans="2:15">
      <c r="B17" s="5"/>
      <c r="C17" s="53" t="s">
        <v>70</v>
      </c>
      <c r="D17" s="1">
        <f>'Detalle de Costos'!C41</f>
        <v>13600</v>
      </c>
      <c r="E17" s="1">
        <f>'Detalle de Costos'!D41</f>
        <v>15099</v>
      </c>
      <c r="F17" s="1">
        <f>'Detalle de Costos'!E41</f>
        <v>17995</v>
      </c>
      <c r="G17" s="1">
        <f>'Detalle de Costos'!F41</f>
        <v>21992</v>
      </c>
      <c r="H17" s="1">
        <f>'Detalle de Costos'!G41</f>
        <v>0</v>
      </c>
      <c r="I17" s="1">
        <f>'Detalle de Costos'!H41</f>
        <v>0</v>
      </c>
      <c r="J17" s="1">
        <f>'Detalle de Costos'!I41</f>
        <v>0</v>
      </c>
      <c r="K17" s="1">
        <f>'Detalle de Costos'!J41</f>
        <v>0</v>
      </c>
      <c r="L17" s="1">
        <f>'Detalle de Costos'!K41</f>
        <v>0</v>
      </c>
      <c r="M17" s="1">
        <f>'Detalle de Costos'!L41</f>
        <v>0</v>
      </c>
      <c r="N17" s="1">
        <f>'Detalle de Costos'!M41</f>
        <v>0</v>
      </c>
      <c r="O17" s="1">
        <f>'Detalle de Costos'!N41</f>
        <v>0</v>
      </c>
    </row>
    <row r="18" spans="2:15">
      <c r="B18" s="5"/>
      <c r="C18" s="53" t="s">
        <v>71</v>
      </c>
      <c r="D18" s="1">
        <f>D17</f>
        <v>13600</v>
      </c>
      <c r="E18" s="1">
        <f>D18+E17</f>
        <v>28699</v>
      </c>
      <c r="F18" s="1">
        <f t="shared" ref="F18:H18" si="1">E18+F17</f>
        <v>46694</v>
      </c>
      <c r="G18" s="1">
        <f t="shared" si="1"/>
        <v>68686</v>
      </c>
      <c r="H18" s="1">
        <f t="shared" si="1"/>
        <v>68686</v>
      </c>
      <c r="I18" s="1"/>
      <c r="J18" s="1"/>
      <c r="K18" s="1"/>
      <c r="L18" s="1"/>
      <c r="M18" s="1"/>
      <c r="N18" s="1"/>
      <c r="O18" s="1"/>
    </row>
    <row r="19" spans="2:15">
      <c r="B19" s="5"/>
      <c r="O19" s="6"/>
    </row>
    <row r="20" spans="2:15">
      <c r="B20" s="5"/>
      <c r="O20" s="6"/>
    </row>
    <row r="21" spans="2:15">
      <c r="B21" s="5"/>
      <c r="C21" s="7"/>
      <c r="D21" s="13"/>
      <c r="E21" s="14"/>
      <c r="O21" s="6"/>
    </row>
    <row r="22" spans="2:15">
      <c r="B22" s="5"/>
      <c r="O22" s="6"/>
    </row>
    <row r="23" spans="2:15">
      <c r="B23" s="5"/>
      <c r="O23" s="6"/>
    </row>
    <row r="24" spans="2:15">
      <c r="B24" s="5"/>
      <c r="O24" s="6"/>
    </row>
    <row r="25" spans="2:15">
      <c r="B25" s="5"/>
      <c r="O25" s="6"/>
    </row>
    <row r="26" spans="2:15">
      <c r="B26" s="5"/>
      <c r="O26" s="6"/>
    </row>
    <row r="27" spans="2:15">
      <c r="B27" s="5"/>
      <c r="O27" s="6"/>
    </row>
    <row r="28" spans="2:15">
      <c r="B28" s="5"/>
      <c r="O28" s="6"/>
    </row>
    <row r="29" spans="2:15">
      <c r="B29" s="5"/>
      <c r="O29" s="6"/>
    </row>
    <row r="30" spans="2:15">
      <c r="B30" s="5"/>
      <c r="O30" s="6"/>
    </row>
    <row r="31" spans="2:15">
      <c r="B31" s="5"/>
      <c r="O31" s="6"/>
    </row>
    <row r="32" spans="2:15">
      <c r="B32" s="5"/>
      <c r="O32" s="6"/>
    </row>
    <row r="33" spans="2:15">
      <c r="B33" s="5"/>
      <c r="O33" s="6"/>
    </row>
    <row r="34" spans="2:15">
      <c r="B34" s="5"/>
      <c r="O34" s="6"/>
    </row>
    <row r="35" spans="2:15">
      <c r="B35" s="5"/>
      <c r="O35" s="6"/>
    </row>
    <row r="36" spans="2:15">
      <c r="B36" s="5"/>
      <c r="O36" s="6"/>
    </row>
    <row r="37" spans="2:15">
      <c r="B37" s="5"/>
      <c r="O37" s="6"/>
    </row>
    <row r="38" spans="2:15">
      <c r="B38" s="5"/>
      <c r="O38" s="6"/>
    </row>
    <row r="39" spans="2:15">
      <c r="B39" s="5"/>
      <c r="O39" s="6"/>
    </row>
    <row r="40" spans="2:15">
      <c r="B40" s="5"/>
      <c r="O40" s="6"/>
    </row>
    <row r="41" spans="2:15">
      <c r="B41" s="5"/>
      <c r="O41" s="6"/>
    </row>
    <row r="42" spans="2:15">
      <c r="B42" s="5"/>
      <c r="O42" s="6"/>
    </row>
    <row r="43" spans="2:15" ht="15" thickBot="1">
      <c r="B43" s="8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10"/>
    </row>
    <row r="44" spans="2:15" ht="15" thickTop="1"/>
  </sheetData>
  <mergeCells count="8">
    <mergeCell ref="D13:O13"/>
    <mergeCell ref="C7:O7"/>
    <mergeCell ref="D10:O10"/>
    <mergeCell ref="D11:E11"/>
    <mergeCell ref="F11:G11"/>
    <mergeCell ref="H11:J11"/>
    <mergeCell ref="K11:L11"/>
    <mergeCell ref="M11:O11"/>
  </mergeCells>
  <phoneticPr fontId="11" type="noConversion"/>
  <pageMargins left="0.7" right="0.7" top="0.75" bottom="0.75" header="0.3" footer="0.3"/>
  <pageSetup scale="3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O44"/>
  <sheetViews>
    <sheetView showGridLines="0" topLeftCell="A12" zoomScale="80" zoomScaleNormal="80" workbookViewId="0">
      <selection activeCell="P14" sqref="P14"/>
    </sheetView>
  </sheetViews>
  <sheetFormatPr defaultColWidth="11.42578125" defaultRowHeight="14.45"/>
  <cols>
    <col min="2" max="2" width="3.28515625" customWidth="1"/>
    <col min="3" max="3" width="44.7109375" bestFit="1" customWidth="1"/>
    <col min="4" max="4" width="20" customWidth="1"/>
    <col min="5" max="5" width="16.140625" bestFit="1" customWidth="1"/>
    <col min="6" max="6" width="17.42578125" customWidth="1"/>
    <col min="7" max="8" width="14.7109375" bestFit="1" customWidth="1"/>
    <col min="9" max="9" width="14.42578125" bestFit="1" customWidth="1"/>
    <col min="10" max="10" width="16.42578125" bestFit="1" customWidth="1"/>
    <col min="11" max="11" width="14.42578125" bestFit="1" customWidth="1"/>
    <col min="12" max="12" width="16.42578125" bestFit="1" customWidth="1"/>
    <col min="13" max="14" width="15.42578125" bestFit="1" customWidth="1"/>
    <col min="15" max="15" width="16.140625" bestFit="1" customWidth="1"/>
    <col min="16" max="16" width="3.28515625" customWidth="1"/>
  </cols>
  <sheetData>
    <row r="1" spans="2:15" ht="15" thickBot="1"/>
    <row r="2" spans="2:15" ht="15" thickTop="1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2:15">
      <c r="B3" s="5"/>
      <c r="O3" s="6"/>
    </row>
    <row r="4" spans="2:15">
      <c r="B4" s="5"/>
      <c r="O4" s="6"/>
    </row>
    <row r="5" spans="2:15">
      <c r="B5" s="5"/>
      <c r="O5" s="6"/>
    </row>
    <row r="6" spans="2:15">
      <c r="B6" s="5"/>
      <c r="O6" s="6"/>
    </row>
    <row r="7" spans="2:15" ht="21">
      <c r="B7" s="5"/>
      <c r="C7" s="61" t="s">
        <v>57</v>
      </c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2:15">
      <c r="B8" s="5"/>
      <c r="O8" s="6"/>
    </row>
    <row r="9" spans="2:15">
      <c r="B9" s="5"/>
      <c r="C9" s="53" t="s">
        <v>58</v>
      </c>
      <c r="D9" s="73" t="s">
        <v>72</v>
      </c>
      <c r="E9" s="73"/>
      <c r="F9" s="73"/>
      <c r="G9" s="73"/>
      <c r="H9" s="73"/>
      <c r="I9" s="73"/>
      <c r="J9" s="73"/>
      <c r="K9" s="73"/>
      <c r="L9" s="73"/>
      <c r="M9" s="73"/>
      <c r="N9" s="73"/>
      <c r="O9" s="74"/>
    </row>
    <row r="10" spans="2:15">
      <c r="B10" s="5"/>
      <c r="C10" s="53" t="s">
        <v>60</v>
      </c>
      <c r="D10" s="73" t="s">
        <v>73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4"/>
    </row>
    <row r="11" spans="2:15">
      <c r="B11" s="5"/>
      <c r="C11" s="53" t="s">
        <v>62</v>
      </c>
      <c r="D11" s="75">
        <v>40695</v>
      </c>
      <c r="E11" s="76"/>
      <c r="F11" s="77" t="s">
        <v>63</v>
      </c>
      <c r="G11" s="77"/>
      <c r="H11" s="75">
        <v>41455</v>
      </c>
      <c r="I11" s="76"/>
      <c r="J11" s="76"/>
      <c r="K11" s="77" t="s">
        <v>65</v>
      </c>
      <c r="L11" s="77"/>
      <c r="M11" s="75">
        <v>40908</v>
      </c>
      <c r="N11" s="76"/>
      <c r="O11" s="78"/>
    </row>
    <row r="12" spans="2:15">
      <c r="B12" s="5"/>
      <c r="C12" s="12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5"/>
    </row>
    <row r="13" spans="2:15">
      <c r="B13" s="5"/>
      <c r="C13" s="20"/>
      <c r="D13" s="59" t="s">
        <v>74</v>
      </c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60"/>
    </row>
    <row r="14" spans="2:15">
      <c r="B14" s="5"/>
      <c r="C14" s="21"/>
      <c r="D14" s="51">
        <v>1</v>
      </c>
      <c r="E14" s="51">
        <v>2</v>
      </c>
      <c r="F14" s="51">
        <v>3</v>
      </c>
      <c r="G14" s="51">
        <v>4</v>
      </c>
      <c r="H14" s="51">
        <v>5</v>
      </c>
      <c r="I14" s="51">
        <v>6</v>
      </c>
      <c r="J14" s="51">
        <v>7</v>
      </c>
      <c r="K14" s="51">
        <v>8</v>
      </c>
      <c r="L14" s="51">
        <v>9</v>
      </c>
      <c r="M14" s="51">
        <v>10</v>
      </c>
      <c r="N14" s="51">
        <v>11</v>
      </c>
      <c r="O14" s="52">
        <v>12</v>
      </c>
    </row>
    <row r="15" spans="2:15">
      <c r="B15" s="5"/>
      <c r="C15" s="53" t="s">
        <v>68</v>
      </c>
      <c r="D15" s="22">
        <v>20000</v>
      </c>
      <c r="E15" s="22">
        <v>40000</v>
      </c>
      <c r="F15" s="22">
        <v>60000</v>
      </c>
      <c r="G15" s="22">
        <v>80000</v>
      </c>
      <c r="H15" s="22">
        <v>120000</v>
      </c>
      <c r="I15" s="22">
        <v>140000</v>
      </c>
      <c r="J15" s="22">
        <v>160000</v>
      </c>
      <c r="K15" s="22">
        <v>180000</v>
      </c>
      <c r="L15" s="22">
        <v>180000</v>
      </c>
      <c r="M15" s="22">
        <v>120000</v>
      </c>
      <c r="N15" s="22">
        <v>80000</v>
      </c>
      <c r="O15" s="23">
        <v>40000</v>
      </c>
    </row>
    <row r="16" spans="2:15">
      <c r="B16" s="5"/>
      <c r="C16" s="53" t="s">
        <v>69</v>
      </c>
      <c r="D16" s="22">
        <f>D15</f>
        <v>20000</v>
      </c>
      <c r="E16" s="22">
        <f>D16+E15</f>
        <v>60000</v>
      </c>
      <c r="F16" s="22">
        <f t="shared" ref="F16:O16" si="0">E16+F15</f>
        <v>120000</v>
      </c>
      <c r="G16" s="22">
        <f t="shared" si="0"/>
        <v>200000</v>
      </c>
      <c r="H16" s="22">
        <f t="shared" si="0"/>
        <v>320000</v>
      </c>
      <c r="I16" s="22">
        <f t="shared" si="0"/>
        <v>460000</v>
      </c>
      <c r="J16" s="22">
        <f t="shared" si="0"/>
        <v>620000</v>
      </c>
      <c r="K16" s="22">
        <f t="shared" si="0"/>
        <v>800000</v>
      </c>
      <c r="L16" s="22">
        <f t="shared" si="0"/>
        <v>980000</v>
      </c>
      <c r="M16" s="22">
        <f t="shared" si="0"/>
        <v>1100000</v>
      </c>
      <c r="N16" s="22">
        <f t="shared" si="0"/>
        <v>1180000</v>
      </c>
      <c r="O16" s="23">
        <f t="shared" si="0"/>
        <v>1220000</v>
      </c>
    </row>
    <row r="17" spans="2:15">
      <c r="B17" s="5"/>
      <c r="C17" s="53" t="s">
        <v>70</v>
      </c>
      <c r="D17" s="22">
        <v>20000</v>
      </c>
      <c r="E17" s="22">
        <v>20000</v>
      </c>
      <c r="F17" s="22">
        <v>40000</v>
      </c>
      <c r="G17" s="22">
        <v>60000</v>
      </c>
      <c r="H17" s="22">
        <v>80000</v>
      </c>
      <c r="I17" s="22">
        <v>100000</v>
      </c>
      <c r="J17" s="22">
        <v>150000</v>
      </c>
      <c r="K17" s="22"/>
      <c r="L17" s="22"/>
      <c r="M17" s="22"/>
      <c r="N17" s="22"/>
      <c r="O17" s="23"/>
    </row>
    <row r="18" spans="2:15">
      <c r="B18" s="5"/>
      <c r="C18" s="53" t="s">
        <v>71</v>
      </c>
      <c r="D18" s="22">
        <f>D17</f>
        <v>20000</v>
      </c>
      <c r="E18" s="22">
        <f>D18+E17</f>
        <v>40000</v>
      </c>
      <c r="F18" s="22">
        <f t="shared" ref="F18:J18" si="1">E18+F17</f>
        <v>80000</v>
      </c>
      <c r="G18" s="22">
        <f t="shared" si="1"/>
        <v>140000</v>
      </c>
      <c r="H18" s="22">
        <f t="shared" si="1"/>
        <v>220000</v>
      </c>
      <c r="I18" s="22">
        <f t="shared" si="1"/>
        <v>320000</v>
      </c>
      <c r="J18" s="22">
        <f t="shared" si="1"/>
        <v>470000</v>
      </c>
      <c r="K18" s="22"/>
      <c r="L18" s="22"/>
      <c r="M18" s="22"/>
      <c r="N18" s="22"/>
      <c r="O18" s="23"/>
    </row>
    <row r="19" spans="2:15">
      <c r="B19" s="5"/>
      <c r="O19" s="6"/>
    </row>
    <row r="20" spans="2:15">
      <c r="B20" s="5"/>
      <c r="O20" s="6"/>
    </row>
    <row r="21" spans="2:15">
      <c r="B21" s="5"/>
      <c r="C21" s="7"/>
      <c r="D21" s="13"/>
      <c r="E21" s="14"/>
      <c r="O21" s="6"/>
    </row>
    <row r="22" spans="2:15">
      <c r="B22" s="5"/>
      <c r="O22" s="6"/>
    </row>
    <row r="23" spans="2:15">
      <c r="B23" s="5"/>
      <c r="O23" s="6"/>
    </row>
    <row r="24" spans="2:15">
      <c r="B24" s="5"/>
      <c r="O24" s="6"/>
    </row>
    <row r="25" spans="2:15">
      <c r="B25" s="5"/>
      <c r="O25" s="6"/>
    </row>
    <row r="26" spans="2:15">
      <c r="B26" s="5"/>
      <c r="O26" s="6"/>
    </row>
    <row r="27" spans="2:15">
      <c r="B27" s="5"/>
      <c r="O27" s="6"/>
    </row>
    <row r="28" spans="2:15">
      <c r="B28" s="5"/>
      <c r="O28" s="6"/>
    </row>
    <row r="29" spans="2:15">
      <c r="B29" s="5"/>
      <c r="O29" s="6"/>
    </row>
    <row r="30" spans="2:15">
      <c r="B30" s="5"/>
      <c r="O30" s="6"/>
    </row>
    <row r="31" spans="2:15">
      <c r="B31" s="5"/>
      <c r="O31" s="6"/>
    </row>
    <row r="32" spans="2:15">
      <c r="B32" s="5"/>
      <c r="O32" s="6"/>
    </row>
    <row r="33" spans="2:15">
      <c r="B33" s="5"/>
      <c r="O33" s="6"/>
    </row>
    <row r="34" spans="2:15">
      <c r="B34" s="5"/>
      <c r="O34" s="6"/>
    </row>
    <row r="35" spans="2:15">
      <c r="B35" s="5"/>
      <c r="O35" s="6"/>
    </row>
    <row r="36" spans="2:15">
      <c r="B36" s="5"/>
      <c r="O36" s="6"/>
    </row>
    <row r="37" spans="2:15">
      <c r="B37" s="5"/>
      <c r="O37" s="6"/>
    </row>
    <row r="38" spans="2:15">
      <c r="B38" s="5"/>
      <c r="O38" s="6"/>
    </row>
    <row r="39" spans="2:15">
      <c r="B39" s="5"/>
      <c r="O39" s="6"/>
    </row>
    <row r="40" spans="2:15">
      <c r="B40" s="5"/>
      <c r="O40" s="6"/>
    </row>
    <row r="41" spans="2:15">
      <c r="B41" s="5"/>
      <c r="O41" s="6"/>
    </row>
    <row r="42" spans="2:15">
      <c r="B42" s="5"/>
      <c r="O42" s="6"/>
    </row>
    <row r="43" spans="2:15" ht="15" thickBot="1">
      <c r="B43" s="8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10"/>
    </row>
    <row r="44" spans="2:15" ht="15" thickTop="1"/>
  </sheetData>
  <mergeCells count="9">
    <mergeCell ref="D13:O13"/>
    <mergeCell ref="C7:O7"/>
    <mergeCell ref="D9:O9"/>
    <mergeCell ref="D10:O10"/>
    <mergeCell ref="D11:E11"/>
    <mergeCell ref="F11:G11"/>
    <mergeCell ref="H11:J11"/>
    <mergeCell ref="K11:L11"/>
    <mergeCell ref="M11:O11"/>
  </mergeCells>
  <pageMargins left="0.7" right="0.7" top="0.75" bottom="0.75" header="0.3" footer="0.3"/>
  <pageSetup scale="3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hrizo</dc:creator>
  <cp:keywords/>
  <dc:description/>
  <cp:lastModifiedBy>RICARDO BAEZ BALLARDO</cp:lastModifiedBy>
  <cp:revision/>
  <dcterms:created xsi:type="dcterms:W3CDTF">2012-05-23T17:29:07Z</dcterms:created>
  <dcterms:modified xsi:type="dcterms:W3CDTF">2026-04-27T16:32:19Z</dcterms:modified>
  <cp:category/>
  <cp:contentStatus/>
</cp:coreProperties>
</file>