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icar\Downloads\"/>
    </mc:Choice>
  </mc:AlternateContent>
  <xr:revisionPtr revIDLastSave="0" documentId="13_ncr:1_{FE7CA1EA-2689-4DBE-AC95-156EC6C6E9F0}" xr6:coauthVersionLast="47" xr6:coauthVersionMax="47" xr10:uidLastSave="{00000000-0000-0000-0000-000000000000}"/>
  <bookViews>
    <workbookView xWindow="-108" yWindow="-108" windowWidth="23256" windowHeight="12456" tabRatio="780" activeTab="1" xr2:uid="{00000000-000D-0000-FFFF-FFFF00000000}"/>
  </bookViews>
  <sheets>
    <sheet name="Detalle de Costos" sheetId="11" r:id="rId1"/>
    <sheet name="Plantilla Curva S" sheetId="4" r:id="rId2"/>
    <sheet name="Ejemplo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8" i="4" l="1"/>
  <c r="M18" i="4"/>
  <c r="N18" i="4"/>
  <c r="O18" i="4"/>
  <c r="N73" i="11"/>
  <c r="M73" i="11"/>
  <c r="C73" i="11"/>
  <c r="D73" i="11"/>
  <c r="E73" i="11"/>
  <c r="F73" i="11"/>
  <c r="G73" i="11"/>
  <c r="H73" i="11"/>
  <c r="I73" i="11"/>
  <c r="J73" i="11"/>
  <c r="K73" i="11"/>
  <c r="L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J73" i="11"/>
  <c r="AK73" i="11"/>
  <c r="AL73" i="11"/>
  <c r="AM73" i="11"/>
  <c r="AN73" i="11"/>
  <c r="AO73" i="11"/>
  <c r="AP73" i="11"/>
  <c r="AQ73" i="11"/>
  <c r="AR73" i="11"/>
  <c r="AS73" i="11"/>
  <c r="AT73" i="11"/>
  <c r="AU73" i="11"/>
  <c r="AV73" i="11"/>
  <c r="AW73" i="11"/>
  <c r="AX73" i="11"/>
  <c r="AY73" i="11"/>
  <c r="AZ73" i="11"/>
  <c r="BA73" i="11"/>
  <c r="BB73" i="11"/>
  <c r="BC73" i="11"/>
  <c r="BD73" i="11"/>
  <c r="BE73" i="11"/>
  <c r="BF73" i="11"/>
  <c r="BG73" i="11"/>
  <c r="BH73" i="11"/>
  <c r="BI73" i="11"/>
  <c r="BJ73" i="11"/>
  <c r="E15" i="4"/>
  <c r="F15" i="4"/>
  <c r="G15" i="4"/>
  <c r="H15" i="4"/>
  <c r="I15" i="4"/>
  <c r="AD9" i="11" s="1"/>
  <c r="J15" i="4"/>
  <c r="AE9" i="11" s="1"/>
  <c r="K15" i="4"/>
  <c r="AF9" i="11" s="1"/>
  <c r="L15" i="4"/>
  <c r="AG9" i="11" s="1"/>
  <c r="M15" i="4"/>
  <c r="AH9" i="11" s="1"/>
  <c r="N15" i="4"/>
  <c r="O15" i="4"/>
  <c r="D15" i="4"/>
  <c r="F17" i="4" l="1"/>
  <c r="H17" i="4"/>
  <c r="D18" i="9"/>
  <c r="E18" i="9" s="1"/>
  <c r="F18" i="9" s="1"/>
  <c r="G18" i="9" s="1"/>
  <c r="H18" i="9" s="1"/>
  <c r="I18" i="9" s="1"/>
  <c r="J18" i="9" s="1"/>
  <c r="D16" i="9"/>
  <c r="E16" i="9" s="1"/>
  <c r="F16" i="9" s="1"/>
  <c r="G16" i="9" s="1"/>
  <c r="H16" i="9" s="1"/>
  <c r="I16" i="9" s="1"/>
  <c r="J16" i="9" s="1"/>
  <c r="K16" i="9" s="1"/>
  <c r="L16" i="9" s="1"/>
  <c r="M16" i="9" s="1"/>
  <c r="N16" i="9" s="1"/>
  <c r="O16" i="9" s="1"/>
  <c r="I17" i="4" l="1"/>
  <c r="E17" i="4"/>
  <c r="G17" i="4"/>
  <c r="D16" i="4"/>
  <c r="O17" i="4" l="1"/>
  <c r="N17" i="4"/>
  <c r="M17" i="4"/>
  <c r="L17" i="4"/>
  <c r="K17" i="4"/>
  <c r="J17" i="4"/>
  <c r="E16" i="4"/>
  <c r="F16" i="4" s="1"/>
  <c r="G16" i="4" l="1"/>
  <c r="H16" i="4" s="1"/>
  <c r="I16" i="4" s="1"/>
  <c r="J16" i="4" s="1"/>
  <c r="K16" i="4" s="1"/>
  <c r="L16" i="4" s="1"/>
  <c r="M16" i="4" s="1"/>
  <c r="N16" i="4" s="1"/>
  <c r="O16" i="4" s="1"/>
  <c r="D17" i="4" l="1"/>
  <c r="D18" i="4" s="1"/>
  <c r="E18" i="4" s="1"/>
  <c r="F18" i="4" s="1"/>
  <c r="G18" i="4" s="1"/>
  <c r="H18" i="4" s="1"/>
  <c r="I18" i="4" s="1"/>
  <c r="J18" i="4" s="1"/>
  <c r="K18" i="4" s="1"/>
</calcChain>
</file>

<file path=xl/sharedStrings.xml><?xml version="1.0" encoding="utf-8"?>
<sst xmlns="http://schemas.openxmlformats.org/spreadsheetml/2006/main" count="149" uniqueCount="124">
  <si>
    <t>Valor Planificado</t>
  </si>
  <si>
    <t>Costo Real</t>
  </si>
  <si>
    <t>Proyecto:</t>
  </si>
  <si>
    <t>ID:</t>
  </si>
  <si>
    <t>Fecha de Corte:</t>
  </si>
  <si>
    <t>Año 2012</t>
  </si>
  <si>
    <t>Fecha de Inicio</t>
  </si>
  <si>
    <t>Fecha Fin:</t>
  </si>
  <si>
    <t>Valor Planificado Acumulado</t>
  </si>
  <si>
    <t>Costo Real Acumulado</t>
  </si>
  <si>
    <t>Curva S de Recursos</t>
  </si>
  <si>
    <t>Nombre del Proyecto</t>
  </si>
  <si>
    <t>Fecha estimada de fin del proyecto.</t>
  </si>
  <si>
    <t>Fecha a la cual se reporta el costo real.</t>
  </si>
  <si>
    <t>HT2011-12</t>
  </si>
  <si>
    <t>Apoyo Educativo</t>
  </si>
  <si>
    <t>1.1.1.1</t>
  </si>
  <si>
    <t>2.1.1.1</t>
  </si>
  <si>
    <t>Código</t>
  </si>
  <si>
    <t>Costos por paquete de trabajo</t>
  </si>
  <si>
    <t>Paquete de Trabajo</t>
  </si>
  <si>
    <t>1.1.1.2</t>
  </si>
  <si>
    <t>1.1.1.3</t>
  </si>
  <si>
    <t>Componente 1</t>
  </si>
  <si>
    <t>Componente 2</t>
  </si>
  <si>
    <t>2.1.1.2</t>
  </si>
  <si>
    <t>2.1.1.3</t>
  </si>
  <si>
    <t>2.1.2.1</t>
  </si>
  <si>
    <t>Componente 3</t>
  </si>
  <si>
    <t>TOTAL</t>
  </si>
  <si>
    <t>Trimestre</t>
  </si>
  <si>
    <t>Revision de variables</t>
  </si>
  <si>
    <t>Validacion de formatos y consistencia</t>
  </si>
  <si>
    <t>Documentacion tecnica del dataset</t>
  </si>
  <si>
    <t>Calculo de ingresos acumulados</t>
  </si>
  <si>
    <t>Componente 4</t>
  </si>
  <si>
    <t>Componente 5</t>
  </si>
  <si>
    <t>2.1.1.4</t>
  </si>
  <si>
    <t>2.1.1.5</t>
  </si>
  <si>
    <t>Semana</t>
  </si>
  <si>
    <t>Analisis de Portafolio de Productos</t>
  </si>
  <si>
    <t>APP-EST-015</t>
  </si>
  <si>
    <t>1.1.1.4</t>
  </si>
  <si>
    <t>1.1.1.5</t>
  </si>
  <si>
    <t>1.1.1.6</t>
  </si>
  <si>
    <t>Limpieza y validacion del datatest</t>
  </si>
  <si>
    <t>Licencia de Ghat GPT Pro</t>
  </si>
  <si>
    <t>Consultoria de estadistica externa</t>
  </si>
  <si>
    <t>2.1..2.2</t>
  </si>
  <si>
    <t>Licencia de Chat GTP Pro</t>
  </si>
  <si>
    <t>2.1.2.3</t>
  </si>
  <si>
    <t>2.1.3.1</t>
  </si>
  <si>
    <t>2.1.3.2</t>
  </si>
  <si>
    <t>Consultoria Externa</t>
  </si>
  <si>
    <t>Preparacion de datos para forecasting</t>
  </si>
  <si>
    <t>Desarrollo del modelo predictivo</t>
  </si>
  <si>
    <t>Pruebas de modelo</t>
  </si>
  <si>
    <t>Computacion/ procesamiento</t>
  </si>
  <si>
    <t>Visualizacion de predicciones</t>
  </si>
  <si>
    <t>Analisis de resultados</t>
  </si>
  <si>
    <t xml:space="preserve">Documentacion tecnica </t>
  </si>
  <si>
    <t>Integracion del analisis del portafolio</t>
  </si>
  <si>
    <t>2.1.3.3</t>
  </si>
  <si>
    <t>2.1.4.1</t>
  </si>
  <si>
    <t>2.1.4.2</t>
  </si>
  <si>
    <t>Insumos</t>
  </si>
  <si>
    <t>2.1.2.2</t>
  </si>
  <si>
    <t>2.2.3.1</t>
  </si>
  <si>
    <t>2.2.3.2</t>
  </si>
  <si>
    <t>2.2.3.3</t>
  </si>
  <si>
    <t>Configuracion inicial del repositorio en Github</t>
  </si>
  <si>
    <t>Organización de carpetas y estructura del proyecto</t>
  </si>
  <si>
    <t>Carga inicial del codigo del analisis</t>
  </si>
  <si>
    <t>Revision de archivos , pruebas y correcciones</t>
  </si>
  <si>
    <t>Documentacion basica en README</t>
  </si>
  <si>
    <t>Limpieza y preparacion de datos de ventas</t>
  </si>
  <si>
    <t>Calculo de participacion por producto</t>
  </si>
  <si>
    <t>Validacion de resultados</t>
  </si>
  <si>
    <t>2.2.3.4</t>
  </si>
  <si>
    <t>2.2.3..5</t>
  </si>
  <si>
    <t>Clasificacion de productos A, B y C</t>
  </si>
  <si>
    <t>Revision y reporte preliminar</t>
  </si>
  <si>
    <t>Analisis del crecimiento del producto</t>
  </si>
  <si>
    <t>Calculo de la tasa de crecimiento</t>
  </si>
  <si>
    <t>Comparacion contra productos principales</t>
  </si>
  <si>
    <t>Revision de formulas y consistencia</t>
  </si>
  <si>
    <t>Interpretacion inicial de resultados</t>
  </si>
  <si>
    <t>Clasificacion en estrella, vaca, interrogante y perro</t>
  </si>
  <si>
    <t>Elaboracion de matriz BCG</t>
  </si>
  <si>
    <t>Interpretacion de resultados por producto</t>
  </si>
  <si>
    <t>Integracion del reporte final</t>
  </si>
  <si>
    <t>Preparacion de graficos y conclusiones</t>
  </si>
  <si>
    <t>Diseño dashboard</t>
  </si>
  <si>
    <t>Configuración visualizaciones</t>
  </si>
  <si>
    <t>Integración de datos</t>
  </si>
  <si>
    <t>Desarrollo KPIs</t>
  </si>
  <si>
    <t>Validación funcional</t>
  </si>
  <si>
    <t>Optimización dashboard</t>
  </si>
  <si>
    <t>Corrección errores</t>
  </si>
  <si>
    <t>Automatización reportes</t>
  </si>
  <si>
    <t>Validación usuarios</t>
  </si>
  <si>
    <t>Documentación técnica</t>
  </si>
  <si>
    <t>Componente 6</t>
  </si>
  <si>
    <t>2.1.2.4</t>
  </si>
  <si>
    <t>2.1.2.5</t>
  </si>
  <si>
    <t>Integración módulos</t>
  </si>
  <si>
    <t>Validación general</t>
  </si>
  <si>
    <t>Correcciones finales</t>
  </si>
  <si>
    <t>Elaboración conclusiones</t>
  </si>
  <si>
    <t>Preparación exposición</t>
  </si>
  <si>
    <t>Presentación final</t>
  </si>
  <si>
    <t>Entrega documentación</t>
  </si>
  <si>
    <t>Ajustes post revisión</t>
  </si>
  <si>
    <t>Cierre administrativo</t>
  </si>
  <si>
    <t>Respaldo y almacenamiento</t>
  </si>
  <si>
    <t>2.2.1.1</t>
  </si>
  <si>
    <t>2.2.1.2</t>
  </si>
  <si>
    <t>2.2.1.3</t>
  </si>
  <si>
    <t>2.2.1.4</t>
  </si>
  <si>
    <t>2.2.2.1</t>
  </si>
  <si>
    <t>2.2.2.2</t>
  </si>
  <si>
    <t>2.2.2.3</t>
  </si>
  <si>
    <t>2.2.2.4</t>
  </si>
  <si>
    <t>2.2.2.5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</si>
</sst>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* #,##0.00_);_(* \(#,##0.00\);_(* &quot;-&quot;??_);_(@_)"/>
    <numFmt numFmtId="165" formatCode="_-&quot;$&quot;* #,##0_-;\-&quot;$&quot;* #,##0_-;_-&quot;$&quot;* &quot;-&quot;??_-;_-@_-"/>
    <numFmt numFmtId="166" formatCode="_-* #,##0.0000_-;\-* #,##0.00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orbel"/>
      <family val="2"/>
    </font>
    <font>
      <b/>
      <sz val="16"/>
      <color theme="1"/>
      <name val="Corbel"/>
      <family val="2"/>
    </font>
    <font>
      <b/>
      <sz val="12"/>
      <color theme="0"/>
      <name val="Corbel"/>
      <family val="2"/>
    </font>
    <font>
      <sz val="11"/>
      <color theme="0"/>
      <name val="Corbel"/>
      <family val="2"/>
    </font>
    <font>
      <b/>
      <sz val="11"/>
      <color theme="0"/>
      <name val="Corbel"/>
      <family val="2"/>
    </font>
    <font>
      <b/>
      <sz val="10"/>
      <color theme="0"/>
      <name val="Corbel"/>
      <family val="2"/>
    </font>
    <font>
      <sz val="10"/>
      <color theme="1"/>
      <name val="Corbel"/>
      <family val="2"/>
    </font>
    <font>
      <sz val="8"/>
      <name val="Calibri"/>
      <family val="2"/>
      <scheme val="minor"/>
    </font>
    <font>
      <b/>
      <sz val="11"/>
      <color theme="1"/>
      <name val="Corbel"/>
      <family val="2"/>
    </font>
    <font>
      <b/>
      <sz val="10"/>
      <color rgb="FFFF0000"/>
      <name val="Corbe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376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7">
    <xf numFmtId="0" fontId="0" fillId="0" borderId="0" xfId="0"/>
    <xf numFmtId="44" fontId="0" fillId="0" borderId="1" xfId="1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vertical="center"/>
    </xf>
    <xf numFmtId="9" fontId="0" fillId="0" borderId="0" xfId="2" applyFont="1" applyBorder="1" applyAlignment="1">
      <alignment vertical="center"/>
    </xf>
    <xf numFmtId="0" fontId="0" fillId="0" borderId="9" xfId="0" applyBorder="1" applyAlignment="1">
      <alignment horizontal="left"/>
    </xf>
    <xf numFmtId="44" fontId="0" fillId="0" borderId="1" xfId="1" applyFont="1" applyBorder="1" applyAlignment="1"/>
    <xf numFmtId="0" fontId="0" fillId="0" borderId="2" xfId="0" applyBorder="1"/>
    <xf numFmtId="0" fontId="0" fillId="0" borderId="3" xfId="0" applyBorder="1"/>
    <xf numFmtId="0" fontId="0" fillId="0" borderId="14" xfId="0" applyBorder="1"/>
    <xf numFmtId="0" fontId="2" fillId="3" borderId="1" xfId="0" applyFont="1" applyFill="1" applyBorder="1" applyAlignment="1">
      <alignment horizontal="right"/>
    </xf>
    <xf numFmtId="0" fontId="0" fillId="3" borderId="1" xfId="0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165" fontId="0" fillId="0" borderId="1" xfId="1" applyNumberFormat="1" applyFont="1" applyBorder="1"/>
    <xf numFmtId="165" fontId="0" fillId="0" borderId="13" xfId="1" applyNumberFormat="1" applyFont="1" applyBorder="1"/>
    <xf numFmtId="0" fontId="0" fillId="4" borderId="0" xfId="0" applyFill="1"/>
    <xf numFmtId="0" fontId="4" fillId="4" borderId="0" xfId="0" applyFont="1" applyFill="1" applyProtection="1">
      <protection locked="0"/>
    </xf>
    <xf numFmtId="0" fontId="5" fillId="4" borderId="0" xfId="0" applyFont="1" applyFill="1" applyProtection="1">
      <protection locked="0"/>
    </xf>
    <xf numFmtId="14" fontId="7" fillId="5" borderId="0" xfId="0" applyNumberFormat="1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top"/>
      <protection locked="0"/>
    </xf>
    <xf numFmtId="0" fontId="10" fillId="0" borderId="16" xfId="0" applyFont="1" applyBorder="1" applyAlignment="1" applyProtection="1">
      <alignment horizontal="left" vertical="center"/>
      <protection locked="0"/>
    </xf>
    <xf numFmtId="0" fontId="10" fillId="0" borderId="16" xfId="0" applyFont="1" applyBorder="1" applyAlignment="1" applyProtection="1">
      <alignment vertical="top"/>
      <protection locked="0"/>
    </xf>
    <xf numFmtId="0" fontId="8" fillId="5" borderId="15" xfId="0" applyFont="1" applyFill="1" applyBorder="1" applyAlignment="1" applyProtection="1">
      <alignment horizontal="center" vertical="top"/>
      <protection locked="0"/>
    </xf>
    <xf numFmtId="164" fontId="9" fillId="5" borderId="16" xfId="3" applyFont="1" applyFill="1" applyBorder="1" applyAlignment="1" applyProtection="1">
      <alignment vertical="top"/>
      <protection locked="0"/>
    </xf>
    <xf numFmtId="0" fontId="9" fillId="5" borderId="16" xfId="3" applyNumberFormat="1" applyFont="1" applyFill="1" applyBorder="1" applyAlignment="1" applyProtection="1">
      <alignment horizontal="center" vertical="top"/>
      <protection locked="0"/>
    </xf>
    <xf numFmtId="164" fontId="4" fillId="6" borderId="1" xfId="3" applyFont="1" applyFill="1" applyBorder="1" applyProtection="1">
      <protection locked="0"/>
    </xf>
    <xf numFmtId="164" fontId="10" fillId="0" borderId="16" xfId="3" applyFont="1" applyBorder="1" applyAlignment="1" applyProtection="1">
      <alignment vertical="top"/>
      <protection locked="0"/>
    </xf>
    <xf numFmtId="164" fontId="4" fillId="4" borderId="0" xfId="0" applyNumberFormat="1" applyFont="1" applyFill="1" applyProtection="1">
      <protection locked="0"/>
    </xf>
    <xf numFmtId="164" fontId="10" fillId="3" borderId="16" xfId="3" applyFont="1" applyFill="1" applyBorder="1" applyAlignment="1" applyProtection="1">
      <alignment vertical="top"/>
      <protection locked="0"/>
    </xf>
    <xf numFmtId="44" fontId="13" fillId="5" borderId="16" xfId="1" applyFont="1" applyFill="1" applyBorder="1" applyAlignment="1" applyProtection="1">
      <alignment horizontal="center" vertical="top"/>
      <protection locked="0"/>
    </xf>
    <xf numFmtId="43" fontId="4" fillId="4" borderId="0" xfId="0" applyNumberFormat="1" applyFont="1" applyFill="1" applyProtection="1">
      <protection locked="0"/>
    </xf>
    <xf numFmtId="44" fontId="10" fillId="0" borderId="16" xfId="1" applyFont="1" applyBorder="1" applyAlignment="1" applyProtection="1">
      <alignment horizontal="center" vertical="top"/>
      <protection locked="0"/>
    </xf>
    <xf numFmtId="44" fontId="10" fillId="0" borderId="16" xfId="1" applyFont="1" applyBorder="1" applyAlignment="1" applyProtection="1">
      <alignment horizontal="center" vertical="top" wrapText="1"/>
      <protection locked="0"/>
    </xf>
    <xf numFmtId="44" fontId="10" fillId="0" borderId="16" xfId="1" applyFont="1" applyBorder="1" applyAlignment="1" applyProtection="1">
      <alignment vertical="top"/>
      <protection locked="0"/>
    </xf>
    <xf numFmtId="44" fontId="9" fillId="5" borderId="16" xfId="1" applyFont="1" applyFill="1" applyBorder="1" applyAlignment="1" applyProtection="1">
      <alignment vertical="top"/>
      <protection locked="0"/>
    </xf>
    <xf numFmtId="44" fontId="9" fillId="5" borderId="16" xfId="1" applyFont="1" applyFill="1" applyBorder="1" applyAlignment="1" applyProtection="1">
      <alignment horizontal="right" vertical="top"/>
      <protection locked="0"/>
    </xf>
    <xf numFmtId="44" fontId="4" fillId="6" borderId="1" xfId="1" applyFont="1" applyFill="1" applyBorder="1" applyProtection="1">
      <protection locked="0"/>
    </xf>
    <xf numFmtId="166" fontId="4" fillId="4" borderId="0" xfId="0" applyNumberFormat="1" applyFont="1" applyFill="1" applyProtection="1">
      <protection locked="0"/>
    </xf>
    <xf numFmtId="44" fontId="4" fillId="4" borderId="0" xfId="0" applyNumberFormat="1" applyFont="1" applyFill="1" applyProtection="1">
      <protection locked="0"/>
    </xf>
    <xf numFmtId="0" fontId="10" fillId="0" borderId="17" xfId="0" applyFont="1" applyBorder="1" applyAlignment="1" applyProtection="1">
      <alignment horizontal="left" vertical="center"/>
      <protection locked="0"/>
    </xf>
    <xf numFmtId="0" fontId="10" fillId="0" borderId="18" xfId="0" applyFont="1" applyBorder="1" applyAlignment="1" applyProtection="1">
      <alignment vertical="top"/>
      <protection locked="0"/>
    </xf>
    <xf numFmtId="44" fontId="13" fillId="5" borderId="16" xfId="3" applyNumberFormat="1" applyFont="1" applyFill="1" applyBorder="1" applyAlignment="1" applyProtection="1">
      <alignment horizontal="center" vertical="top"/>
      <protection locked="0"/>
    </xf>
    <xf numFmtId="0" fontId="2" fillId="3" borderId="1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4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0" fillId="0" borderId="4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0" fillId="0" borderId="14" xfId="0" applyNumberFormat="1" applyBorder="1" applyAlignment="1">
      <alignment horizontal="left"/>
    </xf>
    <xf numFmtId="0" fontId="9" fillId="5" borderId="17" xfId="0" applyFont="1" applyFill="1" applyBorder="1" applyAlignment="1" applyProtection="1">
      <alignment horizontal="center" vertical="center"/>
      <protection locked="0"/>
    </xf>
    <xf numFmtId="0" fontId="9" fillId="5" borderId="18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Alignment="1" applyProtection="1">
      <alignment horizontal="center" vertical="center"/>
      <protection locked="0"/>
    </xf>
    <xf numFmtId="0" fontId="9" fillId="5" borderId="17" xfId="0" applyFont="1" applyFill="1" applyBorder="1" applyAlignment="1" applyProtection="1">
      <alignment horizontal="right" vertical="center"/>
      <protection locked="0"/>
    </xf>
    <xf numFmtId="0" fontId="9" fillId="5" borderId="18" xfId="0" applyFont="1" applyFill="1" applyBorder="1" applyAlignment="1" applyProtection="1">
      <alignment horizontal="right" vertical="center"/>
      <protection locked="0"/>
    </xf>
    <xf numFmtId="0" fontId="0" fillId="0" borderId="1" xfId="0" applyBorder="1" applyAlignment="1">
      <alignment horizontal="left"/>
    </xf>
    <xf numFmtId="0" fontId="0" fillId="0" borderId="13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0" fillId="0" borderId="13" xfId="0" applyBorder="1" applyAlignment="1">
      <alignment horizontal="center"/>
    </xf>
    <xf numFmtId="164" fontId="10" fillId="0" borderId="0" xfId="3" applyFont="1" applyBorder="1" applyAlignment="1" applyProtection="1">
      <alignment vertical="top"/>
      <protection locked="0"/>
    </xf>
    <xf numFmtId="164" fontId="10" fillId="0" borderId="18" xfId="3" applyFont="1" applyBorder="1" applyAlignment="1" applyProtection="1">
      <alignment vertical="top"/>
      <protection locked="0"/>
    </xf>
    <xf numFmtId="164" fontId="9" fillId="5" borderId="18" xfId="3" applyFont="1" applyFill="1" applyBorder="1" applyAlignment="1" applyProtection="1">
      <alignment vertical="top"/>
      <protection locked="0"/>
    </xf>
    <xf numFmtId="44" fontId="9" fillId="5" borderId="19" xfId="1" applyFont="1" applyFill="1" applyBorder="1" applyAlignment="1" applyProtection="1">
      <alignment vertical="top"/>
      <protection locked="0"/>
    </xf>
    <xf numFmtId="44" fontId="9" fillId="5" borderId="19" xfId="1" applyFont="1" applyFill="1" applyBorder="1" applyAlignment="1" applyProtection="1">
      <alignment horizontal="right" vertical="top"/>
      <protection locked="0"/>
    </xf>
    <xf numFmtId="164" fontId="9" fillId="5" borderId="19" xfId="3" applyFont="1" applyFill="1" applyBorder="1" applyAlignment="1" applyProtection="1">
      <alignment vertical="top"/>
      <protection locked="0"/>
    </xf>
    <xf numFmtId="44" fontId="10" fillId="0" borderId="1" xfId="1" applyFont="1" applyBorder="1" applyAlignment="1" applyProtection="1">
      <alignment horizontal="center" vertical="top"/>
      <protection locked="0"/>
    </xf>
    <xf numFmtId="164" fontId="10" fillId="0" borderId="1" xfId="3" applyFont="1" applyBorder="1" applyAlignment="1" applyProtection="1">
      <alignment vertical="top"/>
      <protection locked="0"/>
    </xf>
    <xf numFmtId="44" fontId="9" fillId="5" borderId="1" xfId="1" applyFont="1" applyFill="1" applyBorder="1" applyAlignment="1" applyProtection="1">
      <alignment vertical="top"/>
      <protection locked="0"/>
    </xf>
    <xf numFmtId="44" fontId="9" fillId="5" borderId="1" xfId="1" applyFont="1" applyFill="1" applyBorder="1" applyAlignment="1" applyProtection="1">
      <alignment horizontal="right" vertical="top"/>
      <protection locked="0"/>
    </xf>
    <xf numFmtId="164" fontId="9" fillId="5" borderId="1" xfId="3" applyFont="1" applyFill="1" applyBorder="1" applyAlignment="1" applyProtection="1">
      <alignment vertical="top"/>
      <protection locked="0"/>
    </xf>
    <xf numFmtId="0" fontId="9" fillId="5" borderId="20" xfId="0" applyFont="1" applyFill="1" applyBorder="1" applyAlignment="1" applyProtection="1">
      <alignment horizontal="center" vertical="center"/>
      <protection locked="0"/>
    </xf>
    <xf numFmtId="0" fontId="9" fillId="5" borderId="21" xfId="0" applyFont="1" applyFill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left" vertical="center"/>
      <protection locked="0"/>
    </xf>
    <xf numFmtId="0" fontId="0" fillId="0" borderId="1" xfId="0" applyBorder="1"/>
    <xf numFmtId="0" fontId="9" fillId="5" borderId="22" xfId="0" applyFont="1" applyFill="1" applyBorder="1" applyAlignment="1" applyProtection="1">
      <alignment horizontal="center" vertical="center"/>
      <protection locked="0"/>
    </xf>
    <xf numFmtId="0" fontId="9" fillId="5" borderId="0" xfId="0" applyFont="1" applyFill="1" applyBorder="1" applyAlignment="1" applyProtection="1">
      <alignment horizontal="center" vertical="center"/>
      <protection locked="0"/>
    </xf>
    <xf numFmtId="0" fontId="12" fillId="6" borderId="1" xfId="0" applyFont="1" applyFill="1" applyBorder="1" applyAlignment="1" applyProtection="1">
      <alignment horizontal="center"/>
      <protection locked="0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0037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569208778480151E-2"/>
          <c:y val="1.706998513297726E-2"/>
          <c:w val="0.70602619742954664"/>
          <c:h val="0.89886944551511483"/>
        </c:manualLayout>
      </c:layout>
      <c:lineChart>
        <c:grouping val="standard"/>
        <c:varyColors val="0"/>
        <c:ser>
          <c:idx val="1"/>
          <c:order val="0"/>
          <c:tx>
            <c:strRef>
              <c:f>'Plantilla Curva S'!$C$16</c:f>
              <c:strCache>
                <c:ptCount val="1"/>
                <c:pt idx="0">
                  <c:v>Valor Planificado Acumulado</c:v>
                </c:pt>
              </c:strCache>
            </c:strRef>
          </c:tx>
          <c:marker>
            <c:symbol val="none"/>
          </c:marker>
          <c:cat>
            <c:numRef>
              <c:f>'Plantilla Curva S'!$D$14:$O$14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'Plantilla Curva S'!$D$16:$O$16</c:f>
              <c:numCache>
                <c:formatCode>_("$"* #,##0.00_);_("$"* \(#,##0.00\);_("$"* "-"??_);_(@_)</c:formatCode>
                <c:ptCount val="12"/>
                <c:pt idx="0">
                  <c:v>14000</c:v>
                </c:pt>
                <c:pt idx="1">
                  <c:v>30000</c:v>
                </c:pt>
                <c:pt idx="2">
                  <c:v>50000</c:v>
                </c:pt>
                <c:pt idx="3">
                  <c:v>75000</c:v>
                </c:pt>
                <c:pt idx="4">
                  <c:v>102000</c:v>
                </c:pt>
                <c:pt idx="5">
                  <c:v>135000</c:v>
                </c:pt>
                <c:pt idx="6">
                  <c:v>171000</c:v>
                </c:pt>
                <c:pt idx="7">
                  <c:v>210000</c:v>
                </c:pt>
                <c:pt idx="8">
                  <c:v>245000</c:v>
                </c:pt>
                <c:pt idx="9">
                  <c:v>270000</c:v>
                </c:pt>
                <c:pt idx="10">
                  <c:v>287000</c:v>
                </c:pt>
                <c:pt idx="11">
                  <c:v>300000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6E-4092-A810-F1B32C16C439}"/>
            </c:ext>
          </c:extLst>
        </c:ser>
        <c:ser>
          <c:idx val="3"/>
          <c:order val="1"/>
          <c:tx>
            <c:strRef>
              <c:f>'Plantilla Curva S'!$C$18</c:f>
              <c:strCache>
                <c:ptCount val="1"/>
                <c:pt idx="0">
                  <c:v>Costo Real Acumulado</c:v>
                </c:pt>
              </c:strCache>
            </c:strRef>
          </c:tx>
          <c:marker>
            <c:symbol val="none"/>
          </c:marker>
          <c:cat>
            <c:numRef>
              <c:f>'Plantilla Curva S'!$D$14:$O$14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'Plantilla Curva S'!$D$18:$O$18</c:f>
              <c:numCache>
                <c:formatCode>_("$"* #,##0.00_);_("$"* \(#,##0.00\);_("$"* "-"??_);_(@_)</c:formatCode>
                <c:ptCount val="12"/>
                <c:pt idx="0">
                  <c:v>13600</c:v>
                </c:pt>
                <c:pt idx="1">
                  <c:v>28699</c:v>
                </c:pt>
                <c:pt idx="2">
                  <c:v>46694</c:v>
                </c:pt>
                <c:pt idx="3">
                  <c:v>68686</c:v>
                </c:pt>
                <c:pt idx="4">
                  <c:v>95186</c:v>
                </c:pt>
                <c:pt idx="5">
                  <c:v>127586</c:v>
                </c:pt>
                <c:pt idx="6">
                  <c:v>162786</c:v>
                </c:pt>
                <c:pt idx="7">
                  <c:v>200886</c:v>
                </c:pt>
                <c:pt idx="8">
                  <c:v>235486</c:v>
                </c:pt>
                <c:pt idx="9">
                  <c:v>260186</c:v>
                </c:pt>
                <c:pt idx="10">
                  <c:v>276986</c:v>
                </c:pt>
                <c:pt idx="11">
                  <c:v>289686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6E-4092-A810-F1B32C16C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171456"/>
        <c:axId val="193172992"/>
      </c:lineChart>
      <c:catAx>
        <c:axId val="193171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3172992"/>
        <c:crosses val="autoZero"/>
        <c:auto val="1"/>
        <c:lblAlgn val="ctr"/>
        <c:lblOffset val="100"/>
        <c:noMultiLvlLbl val="0"/>
      </c:catAx>
      <c:valAx>
        <c:axId val="193172992"/>
        <c:scaling>
          <c:orientation val="minMax"/>
        </c:scaling>
        <c:delete val="0"/>
        <c:axPos val="l"/>
        <c:majorGridlines/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193171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569208778480151E-2"/>
          <c:y val="1.706998513297726E-2"/>
          <c:w val="0.70602619742954664"/>
          <c:h val="0.89886944551511483"/>
        </c:manualLayout>
      </c:layout>
      <c:lineChart>
        <c:grouping val="standard"/>
        <c:varyColors val="0"/>
        <c:ser>
          <c:idx val="1"/>
          <c:order val="0"/>
          <c:tx>
            <c:strRef>
              <c:f>Ejemplo!$C$16</c:f>
              <c:strCache>
                <c:ptCount val="1"/>
                <c:pt idx="0">
                  <c:v>Valor Planificado Acumulado</c:v>
                </c:pt>
              </c:strCache>
            </c:strRef>
          </c:tx>
          <c:marker>
            <c:symbol val="none"/>
          </c:marker>
          <c:cat>
            <c:numRef>
              <c:f>Ejemplo!$D$14:$O$14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Ejemplo!$D$16:$O$16</c:f>
              <c:numCache>
                <c:formatCode>_-"$"* #,##0_-;\-"$"* #,##0_-;_-"$"* "-"??_-;_-@_-</c:formatCode>
                <c:ptCount val="12"/>
                <c:pt idx="0">
                  <c:v>20000</c:v>
                </c:pt>
                <c:pt idx="1">
                  <c:v>60000</c:v>
                </c:pt>
                <c:pt idx="2">
                  <c:v>120000</c:v>
                </c:pt>
                <c:pt idx="3">
                  <c:v>200000</c:v>
                </c:pt>
                <c:pt idx="4">
                  <c:v>320000</c:v>
                </c:pt>
                <c:pt idx="5">
                  <c:v>460000</c:v>
                </c:pt>
                <c:pt idx="6">
                  <c:v>620000</c:v>
                </c:pt>
                <c:pt idx="7">
                  <c:v>800000</c:v>
                </c:pt>
                <c:pt idx="8">
                  <c:v>980000</c:v>
                </c:pt>
                <c:pt idx="9">
                  <c:v>1100000</c:v>
                </c:pt>
                <c:pt idx="10">
                  <c:v>1180000</c:v>
                </c:pt>
                <c:pt idx="11">
                  <c:v>1220000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87-437D-8FD2-1C88788F654F}"/>
            </c:ext>
          </c:extLst>
        </c:ser>
        <c:ser>
          <c:idx val="3"/>
          <c:order val="1"/>
          <c:tx>
            <c:strRef>
              <c:f>Ejemplo!$C$18</c:f>
              <c:strCache>
                <c:ptCount val="1"/>
                <c:pt idx="0">
                  <c:v>Costo Real Acumulado</c:v>
                </c:pt>
              </c:strCache>
            </c:strRef>
          </c:tx>
          <c:marker>
            <c:symbol val="none"/>
          </c:marker>
          <c:cat>
            <c:numRef>
              <c:f>Ejemplo!$D$14:$O$14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Ejemplo!$D$18:$O$18</c:f>
              <c:numCache>
                <c:formatCode>_-"$"* #,##0_-;\-"$"* #,##0_-;_-"$"* "-"??_-;_-@_-</c:formatCode>
                <c:ptCount val="12"/>
                <c:pt idx="0">
                  <c:v>20000</c:v>
                </c:pt>
                <c:pt idx="1">
                  <c:v>40000</c:v>
                </c:pt>
                <c:pt idx="2">
                  <c:v>80000</c:v>
                </c:pt>
                <c:pt idx="3">
                  <c:v>140000</c:v>
                </c:pt>
                <c:pt idx="4">
                  <c:v>220000</c:v>
                </c:pt>
                <c:pt idx="5">
                  <c:v>320000</c:v>
                </c:pt>
                <c:pt idx="6">
                  <c:v>470000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87-437D-8FD2-1C88788F6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911808"/>
        <c:axId val="194196224"/>
      </c:lineChart>
      <c:catAx>
        <c:axId val="1939118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4196224"/>
        <c:crosses val="autoZero"/>
        <c:auto val="1"/>
        <c:lblAlgn val="ctr"/>
        <c:lblOffset val="100"/>
        <c:noMultiLvlLbl val="0"/>
      </c:catAx>
      <c:valAx>
        <c:axId val="194196224"/>
        <c:scaling>
          <c:orientation val="minMax"/>
        </c:scaling>
        <c:delete val="0"/>
        <c:axPos val="l"/>
        <c:majorGridlines/>
        <c:numFmt formatCode="_-&quot;$&quot;* #,##0_-;\-&quot;$&quot;* #,##0_-;_-&quot;$&quot;* &quot;-&quot;??_-;_-@_-" sourceLinked="1"/>
        <c:majorTickMark val="out"/>
        <c:minorTickMark val="none"/>
        <c:tickLblPos val="nextTo"/>
        <c:crossAx val="1939118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388621</xdr:colOff>
      <xdr:row>0</xdr:row>
      <xdr:rowOff>0</xdr:rowOff>
    </xdr:from>
    <xdr:to>
      <xdr:col>1</xdr:col>
      <xdr:colOff>723901</xdr:colOff>
      <xdr:row>4</xdr:row>
      <xdr:rowOff>88027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621" y="0"/>
          <a:ext cx="876300" cy="9033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746125</xdr:colOff>
      <xdr:row>18</xdr:row>
      <xdr:rowOff>142875</xdr:rowOff>
    </xdr:from>
    <xdr:to>
      <xdr:col>12</xdr:col>
      <xdr:colOff>206375</xdr:colOff>
      <xdr:row>42</xdr:row>
      <xdr:rowOff>111125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304802</xdr:colOff>
      <xdr:row>1</xdr:row>
      <xdr:rowOff>67734</xdr:rowOff>
    </xdr:from>
    <xdr:to>
      <xdr:col>2</xdr:col>
      <xdr:colOff>1134533</xdr:colOff>
      <xdr:row>5</xdr:row>
      <xdr:rowOff>161013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0802" y="262467"/>
          <a:ext cx="829731" cy="8468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793750</xdr:colOff>
      <xdr:row>18</xdr:row>
      <xdr:rowOff>57150</xdr:rowOff>
    </xdr:from>
    <xdr:to>
      <xdr:col>13</xdr:col>
      <xdr:colOff>568325</xdr:colOff>
      <xdr:row>42</xdr:row>
      <xdr:rowOff>25400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1079500</xdr:colOff>
      <xdr:row>1</xdr:row>
      <xdr:rowOff>34106</xdr:rowOff>
    </xdr:from>
    <xdr:to>
      <xdr:col>3</xdr:col>
      <xdr:colOff>222250</xdr:colOff>
      <xdr:row>5</xdr:row>
      <xdr:rowOff>104774</xdr:rowOff>
    </xdr:to>
    <xdr:pic>
      <xdr:nvPicPr>
        <xdr:cNvPr id="4097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200-00000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" y="240481"/>
          <a:ext cx="2127250" cy="848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F9A9-FCEB-47B1-AE78-CF1A36A7E64B}">
  <dimension ref="A3:BJ78"/>
  <sheetViews>
    <sheetView topLeftCell="A30" zoomScale="70" zoomScaleNormal="70" workbookViewId="0">
      <pane xSplit="7" topLeftCell="H1" activePane="topRight" state="frozen"/>
      <selection pane="topRight" activeCell="C68" sqref="C68"/>
    </sheetView>
  </sheetViews>
  <sheetFormatPr baseColWidth="10" defaultColWidth="11.44140625" defaultRowHeight="14.4" x14ac:dyDescent="0.3"/>
  <cols>
    <col min="1" max="1" width="7.77734375" style="27" bestFit="1" customWidth="1"/>
    <col min="2" max="2" width="49" style="28" bestFit="1" customWidth="1"/>
    <col min="3" max="3" width="11.88671875" style="28" customWidth="1"/>
    <col min="4" max="4" width="13.5546875" style="28" customWidth="1"/>
    <col min="5" max="5" width="12.5546875" style="28" customWidth="1"/>
    <col min="6" max="6" width="12.77734375" style="28" customWidth="1"/>
    <col min="7" max="7" width="11.77734375" style="28" customWidth="1"/>
    <col min="8" max="8" width="12.109375" style="28" customWidth="1"/>
    <col min="9" max="9" width="12.33203125" style="28" customWidth="1"/>
    <col min="10" max="10" width="12.88671875" style="28" customWidth="1"/>
    <col min="11" max="11" width="12.33203125" style="28" customWidth="1"/>
    <col min="12" max="12" width="13" style="28" customWidth="1"/>
    <col min="13" max="13" width="12.6640625" style="28" customWidth="1"/>
    <col min="14" max="14" width="12" style="28" customWidth="1"/>
    <col min="15" max="29" width="10.44140625" style="28" customWidth="1"/>
    <col min="30" max="30" width="13" style="28" customWidth="1"/>
    <col min="31" max="31" width="12" style="28" customWidth="1"/>
    <col min="32" max="32" width="12.33203125" style="28" customWidth="1"/>
    <col min="33" max="33" width="13.109375" style="28" customWidth="1"/>
    <col min="34" max="34" width="12.21875" style="28" customWidth="1"/>
    <col min="35" max="62" width="10.44140625" style="28" customWidth="1"/>
    <col min="63" max="16384" width="11.44140625" style="28"/>
  </cols>
  <sheetData>
    <row r="3" spans="1:62" ht="21" x14ac:dyDescent="0.4">
      <c r="D3" s="29" t="s">
        <v>19</v>
      </c>
    </row>
    <row r="6" spans="1:62" ht="15.6" x14ac:dyDescent="0.3">
      <c r="A6" s="70" t="s">
        <v>11</v>
      </c>
      <c r="B6" s="70"/>
      <c r="C6" s="70"/>
      <c r="D6" s="7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</row>
    <row r="7" spans="1:62" x14ac:dyDescent="0.3">
      <c r="A7" s="34" t="s">
        <v>18</v>
      </c>
      <c r="B7" s="34" t="s">
        <v>20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</row>
    <row r="8" spans="1:62" x14ac:dyDescent="0.3">
      <c r="A8" s="71" t="s">
        <v>39</v>
      </c>
      <c r="B8" s="72"/>
      <c r="C8" s="36">
        <v>1</v>
      </c>
      <c r="D8" s="36">
        <v>2</v>
      </c>
      <c r="E8" s="36">
        <v>3</v>
      </c>
      <c r="F8" s="36">
        <v>4</v>
      </c>
      <c r="G8" s="36">
        <v>5</v>
      </c>
      <c r="H8" s="36">
        <v>6</v>
      </c>
      <c r="I8" s="36">
        <v>7</v>
      </c>
      <c r="J8" s="36">
        <v>8</v>
      </c>
      <c r="K8" s="36">
        <v>9</v>
      </c>
      <c r="L8" s="36">
        <v>10</v>
      </c>
      <c r="M8" s="36">
        <v>11</v>
      </c>
      <c r="N8" s="36">
        <v>12</v>
      </c>
      <c r="O8" s="36">
        <v>13</v>
      </c>
      <c r="P8" s="36">
        <v>14</v>
      </c>
      <c r="Q8" s="36">
        <v>15</v>
      </c>
      <c r="R8" s="36">
        <v>16</v>
      </c>
      <c r="S8" s="36">
        <v>17</v>
      </c>
      <c r="T8" s="36">
        <v>18</v>
      </c>
      <c r="U8" s="36">
        <v>19</v>
      </c>
      <c r="V8" s="36">
        <v>20</v>
      </c>
      <c r="W8" s="36">
        <v>21</v>
      </c>
      <c r="X8" s="36">
        <v>22</v>
      </c>
      <c r="Y8" s="36">
        <v>23</v>
      </c>
      <c r="Z8" s="36">
        <v>24</v>
      </c>
      <c r="AA8" s="36">
        <v>25</v>
      </c>
      <c r="AB8" s="36">
        <v>26</v>
      </c>
      <c r="AC8" s="36">
        <v>27</v>
      </c>
      <c r="AD8" s="36">
        <v>6</v>
      </c>
      <c r="AE8" s="36">
        <v>7</v>
      </c>
      <c r="AF8" s="36">
        <v>8</v>
      </c>
      <c r="AG8" s="36">
        <v>9</v>
      </c>
      <c r="AH8" s="36">
        <v>10</v>
      </c>
      <c r="AI8" s="36">
        <v>33</v>
      </c>
      <c r="AJ8" s="36">
        <v>34</v>
      </c>
      <c r="AK8" s="36">
        <v>35</v>
      </c>
      <c r="AL8" s="36">
        <v>36</v>
      </c>
      <c r="AM8" s="36">
        <v>37</v>
      </c>
      <c r="AN8" s="36">
        <v>38</v>
      </c>
      <c r="AO8" s="36">
        <v>39</v>
      </c>
      <c r="AP8" s="36">
        <v>40</v>
      </c>
      <c r="AQ8" s="36">
        <v>41</v>
      </c>
      <c r="AR8" s="36">
        <v>42</v>
      </c>
      <c r="AS8" s="36">
        <v>43</v>
      </c>
      <c r="AT8" s="36">
        <v>44</v>
      </c>
      <c r="AU8" s="36">
        <v>45</v>
      </c>
      <c r="AV8" s="36">
        <v>46</v>
      </c>
      <c r="AW8" s="36">
        <v>47</v>
      </c>
      <c r="AX8" s="36">
        <v>48</v>
      </c>
      <c r="AY8" s="36">
        <v>49</v>
      </c>
      <c r="AZ8" s="36">
        <v>50</v>
      </c>
      <c r="BA8" s="36">
        <v>51</v>
      </c>
      <c r="BB8" s="36">
        <v>52</v>
      </c>
      <c r="BC8" s="36">
        <v>53</v>
      </c>
      <c r="BD8" s="36">
        <v>54</v>
      </c>
      <c r="BE8" s="36">
        <v>55</v>
      </c>
      <c r="BF8" s="36">
        <v>56</v>
      </c>
      <c r="BG8" s="36">
        <v>57</v>
      </c>
      <c r="BH8" s="36">
        <v>58</v>
      </c>
      <c r="BI8" s="36">
        <v>59</v>
      </c>
      <c r="BJ8" s="36">
        <v>60</v>
      </c>
    </row>
    <row r="9" spans="1:62" x14ac:dyDescent="0.3">
      <c r="A9" s="68" t="s">
        <v>23</v>
      </c>
      <c r="B9" s="69"/>
      <c r="C9" s="41">
        <v>14000</v>
      </c>
      <c r="D9" s="41">
        <v>16000</v>
      </c>
      <c r="E9" s="41">
        <v>20000</v>
      </c>
      <c r="F9" s="41">
        <v>25000</v>
      </c>
      <c r="G9" s="41">
        <v>27000</v>
      </c>
      <c r="H9" s="41">
        <v>33000</v>
      </c>
      <c r="I9" s="41">
        <v>36000</v>
      </c>
      <c r="J9" s="41">
        <v>39000</v>
      </c>
      <c r="K9" s="41">
        <v>35000</v>
      </c>
      <c r="L9" s="41">
        <v>25000</v>
      </c>
      <c r="M9" s="41">
        <v>17000</v>
      </c>
      <c r="N9" s="41">
        <v>13000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53">
        <f>'Plantilla Curva S'!I15</f>
        <v>33000</v>
      </c>
      <c r="AE9" s="53">
        <f>'Plantilla Curva S'!J15</f>
        <v>36000</v>
      </c>
      <c r="AF9" s="53">
        <f>'Plantilla Curva S'!K15</f>
        <v>39000</v>
      </c>
      <c r="AG9" s="53">
        <f>'Plantilla Curva S'!L15</f>
        <v>35000</v>
      </c>
      <c r="AH9" s="53">
        <f>'Plantilla Curva S'!M15</f>
        <v>25000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</row>
    <row r="10" spans="1:62" x14ac:dyDescent="0.3">
      <c r="A10" s="32" t="s">
        <v>16</v>
      </c>
      <c r="B10" s="33" t="s">
        <v>31</v>
      </c>
      <c r="C10" s="43">
        <v>2000</v>
      </c>
      <c r="D10" s="44">
        <v>2500</v>
      </c>
      <c r="E10" s="43"/>
      <c r="F10" s="45"/>
      <c r="G10" s="45"/>
      <c r="H10" s="45"/>
      <c r="I10" s="45"/>
      <c r="J10" s="45"/>
      <c r="K10" s="45"/>
      <c r="L10" s="45"/>
      <c r="M10" s="45"/>
      <c r="N10" s="45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</row>
    <row r="11" spans="1:62" x14ac:dyDescent="0.3">
      <c r="A11" s="32" t="s">
        <v>21</v>
      </c>
      <c r="B11" s="33" t="s">
        <v>32</v>
      </c>
      <c r="C11" s="43">
        <v>3500</v>
      </c>
      <c r="D11" s="43">
        <v>4000</v>
      </c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</row>
    <row r="12" spans="1:62" x14ac:dyDescent="0.3">
      <c r="A12" s="32" t="s">
        <v>22</v>
      </c>
      <c r="B12" s="33" t="s">
        <v>33</v>
      </c>
      <c r="C12" s="43">
        <v>4000</v>
      </c>
      <c r="D12" s="43">
        <v>4499</v>
      </c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</row>
    <row r="13" spans="1:62" x14ac:dyDescent="0.3">
      <c r="A13" s="51" t="s">
        <v>42</v>
      </c>
      <c r="B13" s="52" t="s">
        <v>45</v>
      </c>
      <c r="C13" s="43">
        <v>3000</v>
      </c>
      <c r="D13" s="43">
        <v>3000</v>
      </c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</row>
    <row r="14" spans="1:62" x14ac:dyDescent="0.3">
      <c r="A14" s="51" t="s">
        <v>43</v>
      </c>
      <c r="B14" s="52" t="s">
        <v>46</v>
      </c>
      <c r="C14" s="43">
        <v>100</v>
      </c>
      <c r="D14" s="43">
        <v>100</v>
      </c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</row>
    <row r="15" spans="1:62" x14ac:dyDescent="0.3">
      <c r="A15" s="51" t="s">
        <v>44</v>
      </c>
      <c r="B15" s="52" t="s">
        <v>47</v>
      </c>
      <c r="C15" s="43">
        <v>1000</v>
      </c>
      <c r="D15" s="43">
        <v>1000</v>
      </c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</row>
    <row r="16" spans="1:62" x14ac:dyDescent="0.3">
      <c r="A16" s="68" t="s">
        <v>24</v>
      </c>
      <c r="B16" s="69"/>
      <c r="C16" s="46"/>
      <c r="D16" s="47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0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</row>
    <row r="17" spans="1:62" x14ac:dyDescent="0.3">
      <c r="A17" s="32" t="s">
        <v>17</v>
      </c>
      <c r="B17" s="33" t="s">
        <v>34</v>
      </c>
      <c r="C17" s="43"/>
      <c r="D17" s="43"/>
      <c r="E17" s="43">
        <v>1699</v>
      </c>
      <c r="F17" s="43">
        <v>2199</v>
      </c>
      <c r="G17" s="43"/>
      <c r="H17" s="43"/>
      <c r="I17" s="43"/>
      <c r="J17" s="43"/>
      <c r="K17" s="43"/>
      <c r="L17" s="43"/>
      <c r="M17" s="43"/>
      <c r="N17" s="43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</row>
    <row r="18" spans="1:62" x14ac:dyDescent="0.3">
      <c r="A18" s="32" t="s">
        <v>25</v>
      </c>
      <c r="B18" s="33" t="s">
        <v>54</v>
      </c>
      <c r="C18" s="43"/>
      <c r="D18" s="43"/>
      <c r="E18" s="43">
        <v>2000</v>
      </c>
      <c r="F18" s="43">
        <v>2499</v>
      </c>
      <c r="G18" s="43"/>
      <c r="H18" s="43"/>
      <c r="I18" s="43"/>
      <c r="J18" s="43"/>
      <c r="K18" s="43"/>
      <c r="L18" s="43"/>
      <c r="M18" s="43"/>
      <c r="N18" s="43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</row>
    <row r="19" spans="1:62" x14ac:dyDescent="0.3">
      <c r="A19" s="32" t="s">
        <v>26</v>
      </c>
      <c r="B19" s="33" t="s">
        <v>55</v>
      </c>
      <c r="C19" s="43"/>
      <c r="D19" s="43"/>
      <c r="E19" s="43">
        <v>2500</v>
      </c>
      <c r="F19" s="43">
        <v>3499</v>
      </c>
      <c r="G19" s="43"/>
      <c r="H19" s="43"/>
      <c r="I19" s="43"/>
      <c r="J19" s="43"/>
      <c r="K19" s="43"/>
      <c r="L19" s="43"/>
      <c r="M19" s="43"/>
      <c r="N19" s="43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</row>
    <row r="20" spans="1:62" x14ac:dyDescent="0.3">
      <c r="A20" s="32" t="s">
        <v>27</v>
      </c>
      <c r="B20" s="33" t="s">
        <v>56</v>
      </c>
      <c r="C20" s="43"/>
      <c r="D20" s="43"/>
      <c r="E20" s="43">
        <v>1499</v>
      </c>
      <c r="F20" s="43">
        <v>1999</v>
      </c>
      <c r="G20" s="43"/>
      <c r="H20" s="43"/>
      <c r="I20" s="43"/>
      <c r="J20" s="43"/>
      <c r="K20" s="43"/>
      <c r="L20" s="43"/>
      <c r="M20" s="43"/>
      <c r="N20" s="43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</row>
    <row r="21" spans="1:62" x14ac:dyDescent="0.3">
      <c r="A21" s="51" t="s">
        <v>48</v>
      </c>
      <c r="B21" s="52" t="s">
        <v>49</v>
      </c>
      <c r="C21" s="43"/>
      <c r="D21" s="43"/>
      <c r="E21" s="43">
        <v>100</v>
      </c>
      <c r="F21" s="43">
        <v>100</v>
      </c>
      <c r="G21" s="43"/>
      <c r="H21" s="43"/>
      <c r="I21" s="43"/>
      <c r="J21" s="43"/>
      <c r="K21" s="43"/>
      <c r="L21" s="43"/>
      <c r="M21" s="43"/>
      <c r="N21" s="43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</row>
    <row r="22" spans="1:62" x14ac:dyDescent="0.3">
      <c r="A22" s="51" t="s">
        <v>50</v>
      </c>
      <c r="B22" s="52" t="s">
        <v>57</v>
      </c>
      <c r="C22" s="43"/>
      <c r="D22" s="43"/>
      <c r="E22" s="43">
        <v>1500</v>
      </c>
      <c r="F22" s="43">
        <v>1500</v>
      </c>
      <c r="G22" s="43"/>
      <c r="H22" s="43"/>
      <c r="I22" s="43"/>
      <c r="J22" s="43"/>
      <c r="K22" s="43"/>
      <c r="L22" s="43"/>
      <c r="M22" s="43"/>
      <c r="N22" s="43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</row>
    <row r="23" spans="1:62" x14ac:dyDescent="0.3">
      <c r="A23" s="51" t="s">
        <v>51</v>
      </c>
      <c r="B23" s="52" t="s">
        <v>58</v>
      </c>
      <c r="C23" s="43"/>
      <c r="D23" s="43"/>
      <c r="E23" s="43">
        <v>2499</v>
      </c>
      <c r="F23" s="43">
        <v>2499</v>
      </c>
      <c r="G23" s="43"/>
      <c r="H23" s="43"/>
      <c r="I23" s="43"/>
      <c r="J23" s="43"/>
      <c r="K23" s="43"/>
      <c r="L23" s="43"/>
      <c r="M23" s="43"/>
      <c r="N23" s="43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</row>
    <row r="24" spans="1:62" x14ac:dyDescent="0.3">
      <c r="A24" s="51" t="s">
        <v>52</v>
      </c>
      <c r="B24" s="52" t="s">
        <v>59</v>
      </c>
      <c r="C24" s="43"/>
      <c r="D24" s="43"/>
      <c r="E24" s="43">
        <v>1999</v>
      </c>
      <c r="F24" s="43">
        <v>2499</v>
      </c>
      <c r="G24" s="43"/>
      <c r="H24" s="43"/>
      <c r="I24" s="43"/>
      <c r="J24" s="43"/>
      <c r="K24" s="43"/>
      <c r="L24" s="43"/>
      <c r="M24" s="43"/>
      <c r="N24" s="43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</row>
    <row r="25" spans="1:62" x14ac:dyDescent="0.3">
      <c r="A25" s="51" t="s">
        <v>62</v>
      </c>
      <c r="B25" s="52" t="s">
        <v>60</v>
      </c>
      <c r="C25" s="43"/>
      <c r="D25" s="43"/>
      <c r="E25" s="43">
        <v>1000</v>
      </c>
      <c r="F25" s="43">
        <v>1499</v>
      </c>
      <c r="G25" s="43"/>
      <c r="H25" s="43"/>
      <c r="I25" s="43"/>
      <c r="J25" s="43"/>
      <c r="K25" s="43"/>
      <c r="L25" s="43"/>
      <c r="M25" s="43"/>
      <c r="N25" s="43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</row>
    <row r="26" spans="1:62" x14ac:dyDescent="0.3">
      <c r="A26" s="51" t="s">
        <v>63</v>
      </c>
      <c r="B26" s="52" t="s">
        <v>53</v>
      </c>
      <c r="C26" s="43"/>
      <c r="D26" s="43"/>
      <c r="E26" s="43">
        <v>2000</v>
      </c>
      <c r="F26" s="43">
        <v>2500</v>
      </c>
      <c r="G26" s="43"/>
      <c r="H26" s="43"/>
      <c r="I26" s="43"/>
      <c r="J26" s="43"/>
      <c r="K26" s="43"/>
      <c r="L26" s="43"/>
      <c r="M26" s="43"/>
      <c r="N26" s="43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</row>
    <row r="27" spans="1:62" x14ac:dyDescent="0.3">
      <c r="A27" s="51" t="s">
        <v>64</v>
      </c>
      <c r="B27" s="52" t="s">
        <v>61</v>
      </c>
      <c r="C27" s="43"/>
      <c r="D27" s="43"/>
      <c r="E27" s="43">
        <v>1199</v>
      </c>
      <c r="F27" s="43">
        <v>1199</v>
      </c>
      <c r="G27" s="43"/>
      <c r="H27" s="43"/>
      <c r="I27" s="43"/>
      <c r="J27" s="43"/>
      <c r="K27" s="43"/>
      <c r="L27" s="43"/>
      <c r="M27" s="43"/>
      <c r="N27" s="43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</row>
    <row r="28" spans="1:62" x14ac:dyDescent="0.3">
      <c r="A28" s="68" t="s">
        <v>28</v>
      </c>
      <c r="B28" s="69"/>
      <c r="C28" s="46"/>
      <c r="D28" s="47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0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</row>
    <row r="29" spans="1:62" x14ac:dyDescent="0.3">
      <c r="A29" s="32" t="s">
        <v>17</v>
      </c>
      <c r="B29" s="33" t="s">
        <v>70</v>
      </c>
      <c r="C29" s="43"/>
      <c r="D29" s="43"/>
      <c r="E29" s="43"/>
      <c r="F29" s="43"/>
      <c r="G29" s="43">
        <v>6000</v>
      </c>
      <c r="H29" s="43"/>
      <c r="I29" s="43"/>
      <c r="J29" s="43"/>
      <c r="K29" s="43"/>
      <c r="L29" s="43"/>
      <c r="M29" s="43"/>
      <c r="N29" s="43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45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</row>
    <row r="30" spans="1:62" x14ac:dyDescent="0.3">
      <c r="A30" s="32" t="s">
        <v>25</v>
      </c>
      <c r="B30" s="33" t="s">
        <v>71</v>
      </c>
      <c r="C30" s="43"/>
      <c r="D30" s="43"/>
      <c r="E30" s="43"/>
      <c r="F30" s="43"/>
      <c r="G30" s="43">
        <v>4500</v>
      </c>
      <c r="H30" s="43"/>
      <c r="I30" s="43"/>
      <c r="J30" s="43"/>
      <c r="K30" s="43"/>
      <c r="L30" s="43"/>
      <c r="M30" s="43"/>
      <c r="N30" s="43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45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</row>
    <row r="31" spans="1:62" x14ac:dyDescent="0.3">
      <c r="A31" s="32" t="s">
        <v>26</v>
      </c>
      <c r="B31" s="33" t="s">
        <v>72</v>
      </c>
      <c r="C31" s="43"/>
      <c r="D31" s="43"/>
      <c r="E31" s="43"/>
      <c r="F31" s="43"/>
      <c r="G31" s="43">
        <v>7000</v>
      </c>
      <c r="H31" s="43"/>
      <c r="I31" s="43"/>
      <c r="J31" s="43"/>
      <c r="K31" s="43"/>
      <c r="L31" s="43"/>
      <c r="M31" s="43"/>
      <c r="N31" s="43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45">
        <v>5400</v>
      </c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</row>
    <row r="32" spans="1:62" x14ac:dyDescent="0.3">
      <c r="A32" s="51" t="s">
        <v>37</v>
      </c>
      <c r="B32" s="52" t="s">
        <v>73</v>
      </c>
      <c r="C32" s="43"/>
      <c r="D32" s="43"/>
      <c r="E32" s="43"/>
      <c r="F32" s="43"/>
      <c r="G32" s="43">
        <v>6000</v>
      </c>
      <c r="H32" s="43"/>
      <c r="I32" s="43"/>
      <c r="J32" s="43"/>
      <c r="K32" s="43"/>
      <c r="L32" s="43"/>
      <c r="M32" s="43"/>
      <c r="N32" s="43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45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</row>
    <row r="33" spans="1:62" x14ac:dyDescent="0.3">
      <c r="A33" s="51" t="s">
        <v>27</v>
      </c>
      <c r="B33" s="52" t="s">
        <v>74</v>
      </c>
      <c r="C33" s="43"/>
      <c r="D33" s="43"/>
      <c r="E33" s="43"/>
      <c r="F33" s="43"/>
      <c r="G33" s="43">
        <v>2000</v>
      </c>
      <c r="H33" s="43"/>
      <c r="I33" s="43"/>
      <c r="J33" s="43"/>
      <c r="K33" s="43"/>
      <c r="L33" s="43"/>
      <c r="M33" s="43"/>
      <c r="N33" s="43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45">
        <v>1000</v>
      </c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</row>
    <row r="34" spans="1:62" x14ac:dyDescent="0.3">
      <c r="A34" s="51" t="s">
        <v>66</v>
      </c>
      <c r="B34" s="52" t="s">
        <v>65</v>
      </c>
      <c r="C34" s="43"/>
      <c r="D34" s="43"/>
      <c r="E34" s="43"/>
      <c r="F34" s="43"/>
      <c r="G34" s="43">
        <v>1000</v>
      </c>
      <c r="H34" s="43"/>
      <c r="I34" s="43"/>
      <c r="J34" s="43"/>
      <c r="K34" s="43"/>
      <c r="L34" s="43"/>
      <c r="M34" s="43"/>
      <c r="N34" s="43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45">
        <v>1000</v>
      </c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</row>
    <row r="35" spans="1:62" x14ac:dyDescent="0.3">
      <c r="A35" s="51" t="s">
        <v>67</v>
      </c>
      <c r="B35" s="52" t="s">
        <v>75</v>
      </c>
      <c r="C35" s="43"/>
      <c r="D35" s="43"/>
      <c r="E35" s="43"/>
      <c r="F35" s="43"/>
      <c r="G35" s="43"/>
      <c r="H35" s="43">
        <v>7500</v>
      </c>
      <c r="I35" s="43"/>
      <c r="J35" s="43"/>
      <c r="K35" s="43"/>
      <c r="L35" s="43"/>
      <c r="M35" s="43"/>
      <c r="N35" s="43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45">
        <v>10500</v>
      </c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</row>
    <row r="36" spans="1:62" x14ac:dyDescent="0.3">
      <c r="A36" s="51" t="s">
        <v>68</v>
      </c>
      <c r="B36" s="52" t="s">
        <v>76</v>
      </c>
      <c r="C36" s="43"/>
      <c r="D36" s="43"/>
      <c r="E36" s="43"/>
      <c r="F36" s="43"/>
      <c r="G36" s="43"/>
      <c r="H36" s="43">
        <v>8000</v>
      </c>
      <c r="I36" s="43"/>
      <c r="J36" s="43"/>
      <c r="K36" s="43"/>
      <c r="L36" s="43"/>
      <c r="M36" s="43"/>
      <c r="N36" s="43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45">
        <v>8000</v>
      </c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</row>
    <row r="37" spans="1:62" x14ac:dyDescent="0.3">
      <c r="A37" s="51" t="s">
        <v>69</v>
      </c>
      <c r="B37" s="52" t="s">
        <v>77</v>
      </c>
      <c r="C37" s="43"/>
      <c r="D37" s="43"/>
      <c r="E37" s="43"/>
      <c r="F37" s="43"/>
      <c r="G37" s="43"/>
      <c r="H37" s="43">
        <v>5500</v>
      </c>
      <c r="I37" s="43"/>
      <c r="J37" s="43"/>
      <c r="K37" s="43"/>
      <c r="L37" s="43"/>
      <c r="M37" s="43"/>
      <c r="N37" s="43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45">
        <v>6500</v>
      </c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</row>
    <row r="38" spans="1:62" x14ac:dyDescent="0.3">
      <c r="A38" s="51" t="s">
        <v>78</v>
      </c>
      <c r="B38" s="52" t="s">
        <v>80</v>
      </c>
      <c r="C38" s="43"/>
      <c r="D38" s="43"/>
      <c r="E38" s="43"/>
      <c r="F38" s="43"/>
      <c r="G38" s="43"/>
      <c r="H38" s="43">
        <v>7400</v>
      </c>
      <c r="I38" s="43"/>
      <c r="J38" s="43"/>
      <c r="K38" s="43"/>
      <c r="L38" s="43"/>
      <c r="M38" s="43"/>
      <c r="N38" s="43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45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</row>
    <row r="39" spans="1:62" x14ac:dyDescent="0.3">
      <c r="A39" s="51" t="s">
        <v>79</v>
      </c>
      <c r="B39" s="52" t="s">
        <v>81</v>
      </c>
      <c r="C39" s="43"/>
      <c r="D39" s="43"/>
      <c r="E39" s="43"/>
      <c r="F39" s="43"/>
      <c r="G39" s="43"/>
      <c r="H39" s="43">
        <v>4000</v>
      </c>
      <c r="I39" s="43"/>
      <c r="J39" s="43"/>
      <c r="K39" s="43"/>
      <c r="L39" s="43"/>
      <c r="M39" s="43"/>
      <c r="N39" s="43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45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</row>
    <row r="40" spans="1:62" x14ac:dyDescent="0.3">
      <c r="A40" s="68" t="s">
        <v>35</v>
      </c>
      <c r="B40" s="69"/>
      <c r="C40" s="46"/>
      <c r="D40" s="47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0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</row>
    <row r="41" spans="1:62" x14ac:dyDescent="0.3">
      <c r="A41" s="32" t="s">
        <v>17</v>
      </c>
      <c r="B41" s="33" t="s">
        <v>82</v>
      </c>
      <c r="C41" s="43"/>
      <c r="D41" s="43"/>
      <c r="E41" s="43"/>
      <c r="F41" s="43"/>
      <c r="G41" s="43"/>
      <c r="H41" s="43"/>
      <c r="I41" s="43">
        <v>8500</v>
      </c>
      <c r="J41" s="43"/>
      <c r="K41" s="43"/>
      <c r="L41" s="43"/>
      <c r="M41" s="43"/>
      <c r="N41" s="43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>
        <v>8000</v>
      </c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</row>
    <row r="42" spans="1:62" x14ac:dyDescent="0.3">
      <c r="A42" s="32" t="s">
        <v>25</v>
      </c>
      <c r="B42" s="33" t="s">
        <v>83</v>
      </c>
      <c r="C42" s="43"/>
      <c r="D42" s="43"/>
      <c r="E42" s="43"/>
      <c r="F42" s="43"/>
      <c r="G42" s="43"/>
      <c r="H42" s="43"/>
      <c r="I42" s="43">
        <v>7800</v>
      </c>
      <c r="J42" s="43"/>
      <c r="K42" s="43"/>
      <c r="L42" s="43"/>
      <c r="M42" s="43"/>
      <c r="N42" s="43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>
        <v>4000</v>
      </c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</row>
    <row r="43" spans="1:62" x14ac:dyDescent="0.3">
      <c r="A43" s="51"/>
      <c r="B43" s="52" t="s">
        <v>84</v>
      </c>
      <c r="C43" s="43"/>
      <c r="D43" s="43"/>
      <c r="E43" s="43"/>
      <c r="F43" s="43"/>
      <c r="G43" s="43"/>
      <c r="H43" s="43"/>
      <c r="I43" s="43">
        <v>7000</v>
      </c>
      <c r="J43" s="43"/>
      <c r="K43" s="43"/>
      <c r="L43" s="43"/>
      <c r="M43" s="43"/>
      <c r="N43" s="43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>
        <v>9500</v>
      </c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</row>
    <row r="44" spans="1:62" x14ac:dyDescent="0.3">
      <c r="A44" s="51"/>
      <c r="B44" s="52" t="s">
        <v>85</v>
      </c>
      <c r="C44" s="43"/>
      <c r="D44" s="43"/>
      <c r="E44" s="43"/>
      <c r="F44" s="43"/>
      <c r="G44" s="43"/>
      <c r="H44" s="43"/>
      <c r="I44" s="43">
        <v>6200</v>
      </c>
      <c r="J44" s="43"/>
      <c r="K44" s="43"/>
      <c r="L44" s="43"/>
      <c r="M44" s="43"/>
      <c r="N44" s="43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>
        <v>5000</v>
      </c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</row>
    <row r="45" spans="1:62" x14ac:dyDescent="0.3">
      <c r="A45" s="51"/>
      <c r="B45" s="52" t="s">
        <v>86</v>
      </c>
      <c r="C45" s="43"/>
      <c r="D45" s="43"/>
      <c r="E45" s="43"/>
      <c r="F45" s="43"/>
      <c r="G45" s="43"/>
      <c r="H45" s="43"/>
      <c r="I45" s="43">
        <v>5700</v>
      </c>
      <c r="J45" s="43"/>
      <c r="K45" s="43"/>
      <c r="L45" s="43"/>
      <c r="M45" s="43"/>
      <c r="N45" s="43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>
        <v>6200</v>
      </c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</row>
    <row r="46" spans="1:62" x14ac:dyDescent="0.3">
      <c r="A46" s="51"/>
      <c r="B46" s="52" t="s">
        <v>87</v>
      </c>
      <c r="C46" s="43"/>
      <c r="D46" s="43"/>
      <c r="E46" s="43"/>
      <c r="F46" s="43"/>
      <c r="G46" s="43"/>
      <c r="H46" s="43"/>
      <c r="I46" s="43"/>
      <c r="J46" s="43">
        <v>9500</v>
      </c>
      <c r="K46" s="43"/>
      <c r="L46" s="43"/>
      <c r="M46" s="43"/>
      <c r="N46" s="43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>
        <v>2500</v>
      </c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</row>
    <row r="47" spans="1:62" x14ac:dyDescent="0.3">
      <c r="A47" s="51"/>
      <c r="B47" s="52" t="s">
        <v>88</v>
      </c>
      <c r="C47" s="43"/>
      <c r="D47" s="43"/>
      <c r="E47" s="43"/>
      <c r="F47" s="43"/>
      <c r="G47" s="43"/>
      <c r="H47" s="43"/>
      <c r="I47" s="43"/>
      <c r="J47" s="43">
        <v>8800</v>
      </c>
      <c r="K47" s="43"/>
      <c r="L47" s="43"/>
      <c r="M47" s="43"/>
      <c r="N47" s="43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</row>
    <row r="48" spans="1:62" x14ac:dyDescent="0.3">
      <c r="A48" s="51"/>
      <c r="B48" s="52" t="s">
        <v>89</v>
      </c>
      <c r="C48" s="43"/>
      <c r="D48" s="43"/>
      <c r="E48" s="43"/>
      <c r="F48" s="43"/>
      <c r="G48" s="43"/>
      <c r="H48" s="43"/>
      <c r="I48" s="43"/>
      <c r="J48" s="43">
        <v>7200</v>
      </c>
      <c r="K48" s="43"/>
      <c r="L48" s="43"/>
      <c r="M48" s="43"/>
      <c r="N48" s="43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</row>
    <row r="49" spans="1:62" x14ac:dyDescent="0.3">
      <c r="A49" s="51"/>
      <c r="B49" s="52" t="s">
        <v>90</v>
      </c>
      <c r="C49" s="43"/>
      <c r="D49" s="43"/>
      <c r="E49" s="43"/>
      <c r="F49" s="43"/>
      <c r="G49" s="43"/>
      <c r="H49" s="43"/>
      <c r="I49" s="43"/>
      <c r="J49" s="43">
        <v>6600</v>
      </c>
      <c r="K49" s="43"/>
      <c r="L49" s="43"/>
      <c r="M49" s="43"/>
      <c r="N49" s="43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</row>
    <row r="50" spans="1:62" x14ac:dyDescent="0.3">
      <c r="A50" s="51"/>
      <c r="B50" s="52" t="s">
        <v>91</v>
      </c>
      <c r="C50" s="43"/>
      <c r="D50" s="43"/>
      <c r="E50" s="43"/>
      <c r="F50" s="43"/>
      <c r="G50" s="43"/>
      <c r="H50" s="43"/>
      <c r="I50" s="43"/>
      <c r="J50" s="43">
        <v>6000</v>
      </c>
      <c r="K50" s="43"/>
      <c r="L50" s="43"/>
      <c r="M50" s="43"/>
      <c r="N50" s="43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</row>
    <row r="51" spans="1:62" x14ac:dyDescent="0.3">
      <c r="A51" s="90" t="s">
        <v>36</v>
      </c>
      <c r="B51" s="91"/>
      <c r="C51" s="82"/>
      <c r="D51" s="83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4"/>
      <c r="P51" s="84"/>
      <c r="Q51" s="84"/>
      <c r="R51" s="84"/>
      <c r="S51" s="84"/>
      <c r="T51" s="84"/>
      <c r="U51" s="84"/>
      <c r="V51" s="84"/>
      <c r="W51" s="84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</row>
    <row r="52" spans="1:62" x14ac:dyDescent="0.3">
      <c r="A52" s="92" t="s">
        <v>17</v>
      </c>
      <c r="B52" s="93" t="s">
        <v>92</v>
      </c>
      <c r="C52" s="85"/>
      <c r="D52" s="85"/>
      <c r="E52" s="85"/>
      <c r="F52" s="85"/>
      <c r="G52" s="85"/>
      <c r="H52" s="85"/>
      <c r="I52" s="85"/>
      <c r="J52" s="85"/>
      <c r="K52" s="85">
        <v>8000</v>
      </c>
      <c r="L52" s="85"/>
      <c r="M52" s="85"/>
      <c r="N52" s="85"/>
      <c r="O52" s="86"/>
      <c r="P52" s="86"/>
      <c r="Q52" s="86"/>
      <c r="R52" s="86"/>
      <c r="S52" s="86"/>
      <c r="T52" s="86"/>
      <c r="U52" s="86"/>
      <c r="V52" s="86"/>
      <c r="W52" s="86"/>
      <c r="X52" s="80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</row>
    <row r="53" spans="1:62" x14ac:dyDescent="0.3">
      <c r="A53" s="92" t="s">
        <v>25</v>
      </c>
      <c r="B53" s="93" t="s">
        <v>93</v>
      </c>
      <c r="C53" s="85"/>
      <c r="D53" s="85"/>
      <c r="E53" s="85"/>
      <c r="F53" s="85"/>
      <c r="G53" s="85"/>
      <c r="H53" s="85"/>
      <c r="I53" s="85"/>
      <c r="J53" s="85"/>
      <c r="K53" s="85">
        <v>7200</v>
      </c>
      <c r="L53" s="85"/>
      <c r="M53" s="85"/>
      <c r="N53" s="85"/>
      <c r="O53" s="86"/>
      <c r="P53" s="86"/>
      <c r="Q53" s="86"/>
      <c r="R53" s="86"/>
      <c r="S53" s="86"/>
      <c r="T53" s="86"/>
      <c r="U53" s="86"/>
      <c r="V53" s="86"/>
      <c r="W53" s="86"/>
      <c r="X53" s="80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</row>
    <row r="54" spans="1:62" x14ac:dyDescent="0.3">
      <c r="A54" s="92" t="s">
        <v>26</v>
      </c>
      <c r="B54" s="93" t="s">
        <v>94</v>
      </c>
      <c r="C54" s="85"/>
      <c r="D54" s="85"/>
      <c r="E54" s="85"/>
      <c r="F54" s="85"/>
      <c r="G54" s="85"/>
      <c r="H54" s="85"/>
      <c r="I54" s="85"/>
      <c r="J54" s="85"/>
      <c r="K54" s="85">
        <v>6800</v>
      </c>
      <c r="L54" s="85"/>
      <c r="M54" s="85"/>
      <c r="N54" s="85"/>
      <c r="O54" s="86"/>
      <c r="P54" s="86"/>
      <c r="Q54" s="86"/>
      <c r="R54" s="86"/>
      <c r="S54" s="86"/>
      <c r="T54" s="86"/>
      <c r="U54" s="86"/>
      <c r="V54" s="86"/>
      <c r="W54" s="86"/>
      <c r="X54" s="80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</row>
    <row r="55" spans="1:62" x14ac:dyDescent="0.3">
      <c r="A55" s="92" t="s">
        <v>37</v>
      </c>
      <c r="B55" s="93" t="s">
        <v>95</v>
      </c>
      <c r="C55" s="85"/>
      <c r="D55" s="85"/>
      <c r="E55" s="85"/>
      <c r="F55" s="85"/>
      <c r="G55" s="85"/>
      <c r="H55" s="85"/>
      <c r="I55" s="85"/>
      <c r="J55" s="85"/>
      <c r="K55" s="85">
        <v>7000</v>
      </c>
      <c r="L55" s="85"/>
      <c r="M55" s="85"/>
      <c r="N55" s="85"/>
      <c r="O55" s="86"/>
      <c r="P55" s="86"/>
      <c r="Q55" s="86"/>
      <c r="R55" s="86"/>
      <c r="S55" s="86"/>
      <c r="T55" s="86"/>
      <c r="U55" s="86"/>
      <c r="V55" s="86"/>
      <c r="W55" s="86"/>
      <c r="X55" s="80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</row>
    <row r="56" spans="1:62" x14ac:dyDescent="0.3">
      <c r="A56" s="92" t="s">
        <v>38</v>
      </c>
      <c r="B56" s="93" t="s">
        <v>96</v>
      </c>
      <c r="C56" s="85"/>
      <c r="D56" s="85"/>
      <c r="E56" s="85"/>
      <c r="F56" s="85"/>
      <c r="G56" s="85"/>
      <c r="H56" s="85"/>
      <c r="I56" s="85"/>
      <c r="J56" s="85"/>
      <c r="K56" s="85">
        <v>5600</v>
      </c>
      <c r="L56" s="85"/>
      <c r="M56" s="85"/>
      <c r="N56" s="85"/>
      <c r="O56" s="86"/>
      <c r="P56" s="86"/>
      <c r="Q56" s="86"/>
      <c r="R56" s="86"/>
      <c r="S56" s="86"/>
      <c r="T56" s="86"/>
      <c r="U56" s="86"/>
      <c r="V56" s="86"/>
      <c r="W56" s="86"/>
      <c r="X56" s="80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</row>
    <row r="57" spans="1:62" x14ac:dyDescent="0.3">
      <c r="A57" s="92" t="s">
        <v>27</v>
      </c>
      <c r="B57" s="93" t="s">
        <v>97</v>
      </c>
      <c r="C57" s="85"/>
      <c r="D57" s="85"/>
      <c r="E57" s="85"/>
      <c r="F57" s="85"/>
      <c r="G57" s="85"/>
      <c r="H57" s="85"/>
      <c r="I57" s="85"/>
      <c r="J57" s="85"/>
      <c r="K57" s="85"/>
      <c r="L57" s="85">
        <v>6000</v>
      </c>
      <c r="M57" s="85"/>
      <c r="N57" s="85"/>
      <c r="O57" s="86"/>
      <c r="P57" s="86"/>
      <c r="Q57" s="86"/>
      <c r="R57" s="86"/>
      <c r="S57" s="86"/>
      <c r="T57" s="86"/>
      <c r="U57" s="86"/>
      <c r="V57" s="86"/>
      <c r="W57" s="86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  <c r="AR57" s="79"/>
      <c r="AS57" s="79"/>
      <c r="AT57" s="79"/>
      <c r="AU57" s="79"/>
      <c r="AV57" s="79"/>
      <c r="AW57" s="79"/>
      <c r="AX57" s="79"/>
      <c r="AY57" s="79"/>
      <c r="AZ57" s="79"/>
      <c r="BA57" s="79"/>
      <c r="BB57" s="79"/>
      <c r="BC57" s="79"/>
      <c r="BD57" s="79"/>
      <c r="BE57" s="79"/>
      <c r="BF57" s="79"/>
      <c r="BG57" s="79"/>
      <c r="BH57" s="79"/>
      <c r="BI57" s="79"/>
      <c r="BJ57" s="79"/>
    </row>
    <row r="58" spans="1:62" x14ac:dyDescent="0.3">
      <c r="A58" s="92" t="s">
        <v>66</v>
      </c>
      <c r="B58" s="93" t="s">
        <v>98</v>
      </c>
      <c r="C58" s="85"/>
      <c r="D58" s="85"/>
      <c r="E58" s="85"/>
      <c r="F58" s="85"/>
      <c r="G58" s="85"/>
      <c r="H58" s="85"/>
      <c r="I58" s="85"/>
      <c r="J58" s="85"/>
      <c r="K58" s="85"/>
      <c r="L58" s="85">
        <v>5200</v>
      </c>
      <c r="M58" s="85"/>
      <c r="N58" s="85"/>
      <c r="O58" s="86"/>
      <c r="P58" s="86"/>
      <c r="Q58" s="86"/>
      <c r="R58" s="86"/>
      <c r="S58" s="86"/>
      <c r="T58" s="86"/>
      <c r="U58" s="86"/>
      <c r="V58" s="86"/>
      <c r="W58" s="86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/>
      <c r="AS58" s="79"/>
      <c r="AT58" s="79"/>
      <c r="AU58" s="79"/>
      <c r="AV58" s="79"/>
      <c r="AW58" s="79"/>
      <c r="AX58" s="79"/>
      <c r="AY58" s="79"/>
      <c r="AZ58" s="79"/>
      <c r="BA58" s="79"/>
      <c r="BB58" s="79"/>
      <c r="BC58" s="79"/>
      <c r="BD58" s="79"/>
      <c r="BE58" s="79"/>
      <c r="BF58" s="79"/>
      <c r="BG58" s="79"/>
      <c r="BH58" s="79"/>
      <c r="BI58" s="79"/>
      <c r="BJ58" s="79"/>
    </row>
    <row r="59" spans="1:62" x14ac:dyDescent="0.3">
      <c r="A59" s="92" t="s">
        <v>50</v>
      </c>
      <c r="B59" s="93" t="s">
        <v>99</v>
      </c>
      <c r="C59" s="85"/>
      <c r="D59" s="85"/>
      <c r="E59" s="85"/>
      <c r="F59" s="85"/>
      <c r="G59" s="85"/>
      <c r="H59" s="85"/>
      <c r="I59" s="85"/>
      <c r="J59" s="85"/>
      <c r="K59" s="85"/>
      <c r="L59" s="85">
        <v>5000</v>
      </c>
      <c r="M59" s="85"/>
      <c r="N59" s="85"/>
      <c r="O59" s="86"/>
      <c r="P59" s="86"/>
      <c r="Q59" s="86"/>
      <c r="R59" s="86"/>
      <c r="S59" s="86"/>
      <c r="T59" s="86"/>
      <c r="U59" s="86"/>
      <c r="V59" s="86"/>
      <c r="W59" s="86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79"/>
      <c r="AX59" s="79"/>
      <c r="AY59" s="79"/>
      <c r="AZ59" s="79"/>
      <c r="BA59" s="79"/>
      <c r="BB59" s="79"/>
      <c r="BC59" s="79"/>
      <c r="BD59" s="79"/>
      <c r="BE59" s="79"/>
      <c r="BF59" s="79"/>
      <c r="BG59" s="79"/>
      <c r="BH59" s="79"/>
      <c r="BI59" s="79"/>
      <c r="BJ59" s="79"/>
    </row>
    <row r="60" spans="1:62" x14ac:dyDescent="0.3">
      <c r="A60" s="92" t="s">
        <v>103</v>
      </c>
      <c r="B60" s="93" t="s">
        <v>100</v>
      </c>
      <c r="C60" s="85"/>
      <c r="D60" s="85"/>
      <c r="E60" s="85"/>
      <c r="F60" s="85"/>
      <c r="G60" s="85"/>
      <c r="H60" s="85"/>
      <c r="I60" s="85"/>
      <c r="J60" s="85"/>
      <c r="K60" s="85"/>
      <c r="L60" s="85">
        <v>4000</v>
      </c>
      <c r="M60" s="85"/>
      <c r="N60" s="85"/>
      <c r="O60" s="86"/>
      <c r="P60" s="86"/>
      <c r="Q60" s="86"/>
      <c r="R60" s="86"/>
      <c r="S60" s="86"/>
      <c r="T60" s="86"/>
      <c r="U60" s="86"/>
      <c r="V60" s="86"/>
      <c r="W60" s="86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  <c r="BE60" s="79"/>
      <c r="BF60" s="79"/>
      <c r="BG60" s="79"/>
      <c r="BH60" s="79"/>
      <c r="BI60" s="79"/>
      <c r="BJ60" s="79"/>
    </row>
    <row r="61" spans="1:62" x14ac:dyDescent="0.3">
      <c r="A61" s="92" t="s">
        <v>104</v>
      </c>
      <c r="B61" s="93" t="s">
        <v>101</v>
      </c>
      <c r="C61" s="85"/>
      <c r="D61" s="85"/>
      <c r="E61" s="85"/>
      <c r="F61" s="85"/>
      <c r="G61" s="85"/>
      <c r="H61" s="85"/>
      <c r="I61" s="85"/>
      <c r="J61" s="85"/>
      <c r="K61" s="85"/>
      <c r="L61" s="85">
        <v>4500</v>
      </c>
      <c r="M61" s="85"/>
      <c r="N61" s="85"/>
      <c r="O61" s="86"/>
      <c r="P61" s="86"/>
      <c r="Q61" s="86"/>
      <c r="R61" s="86"/>
      <c r="S61" s="86"/>
      <c r="T61" s="86"/>
      <c r="U61" s="86"/>
      <c r="V61" s="86"/>
      <c r="W61" s="86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79"/>
      <c r="AY61" s="79"/>
      <c r="AZ61" s="79"/>
      <c r="BA61" s="79"/>
      <c r="BB61" s="79"/>
      <c r="BC61" s="79"/>
      <c r="BD61" s="79"/>
      <c r="BE61" s="79"/>
      <c r="BF61" s="79"/>
      <c r="BG61" s="79"/>
      <c r="BH61" s="79"/>
      <c r="BI61" s="79"/>
      <c r="BJ61" s="79"/>
    </row>
    <row r="62" spans="1:62" x14ac:dyDescent="0.3">
      <c r="A62" s="94" t="s">
        <v>102</v>
      </c>
      <c r="B62" s="95"/>
      <c r="C62" s="87"/>
      <c r="D62" s="88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9"/>
      <c r="P62" s="89"/>
      <c r="Q62" s="89"/>
      <c r="R62" s="89"/>
      <c r="S62" s="89"/>
      <c r="T62" s="89"/>
      <c r="U62" s="89"/>
      <c r="V62" s="89"/>
      <c r="W62" s="89"/>
      <c r="X62" s="81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</row>
    <row r="63" spans="1:62" x14ac:dyDescent="0.3">
      <c r="A63" s="92" t="s">
        <v>115</v>
      </c>
      <c r="B63" s="93" t="s">
        <v>105</v>
      </c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>
        <v>4500</v>
      </c>
      <c r="N63" s="85"/>
      <c r="O63" s="86"/>
      <c r="P63" s="86"/>
      <c r="Q63" s="86"/>
      <c r="R63" s="86"/>
      <c r="S63" s="86"/>
      <c r="T63" s="86"/>
      <c r="U63" s="86"/>
      <c r="V63" s="86"/>
      <c r="W63" s="86"/>
      <c r="X63" s="80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</row>
    <row r="64" spans="1:62" x14ac:dyDescent="0.3">
      <c r="A64" s="92" t="s">
        <v>116</v>
      </c>
      <c r="B64" s="93" t="s">
        <v>106</v>
      </c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>
        <v>3500</v>
      </c>
      <c r="N64" s="85"/>
      <c r="O64" s="86"/>
      <c r="P64" s="86"/>
      <c r="Q64" s="86"/>
      <c r="R64" s="86"/>
      <c r="S64" s="86"/>
      <c r="T64" s="86"/>
      <c r="U64" s="86"/>
      <c r="V64" s="86"/>
      <c r="W64" s="86"/>
      <c r="X64" s="80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</row>
    <row r="65" spans="1:62" x14ac:dyDescent="0.3">
      <c r="A65" s="92" t="s">
        <v>116</v>
      </c>
      <c r="B65" s="93" t="s">
        <v>107</v>
      </c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>
        <v>3000</v>
      </c>
      <c r="N65" s="85"/>
      <c r="O65" s="86"/>
      <c r="P65" s="86"/>
      <c r="Q65" s="86"/>
      <c r="R65" s="86"/>
      <c r="S65" s="86"/>
      <c r="T65" s="86"/>
      <c r="U65" s="86"/>
      <c r="V65" s="86"/>
      <c r="W65" s="86"/>
      <c r="X65" s="80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</row>
    <row r="66" spans="1:62" x14ac:dyDescent="0.3">
      <c r="A66" s="92" t="s">
        <v>117</v>
      </c>
      <c r="B66" s="93" t="s">
        <v>108</v>
      </c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>
        <v>2800</v>
      </c>
      <c r="N66" s="85"/>
      <c r="O66" s="86"/>
      <c r="P66" s="86"/>
      <c r="Q66" s="86"/>
      <c r="R66" s="86"/>
      <c r="S66" s="86"/>
      <c r="T66" s="86"/>
      <c r="U66" s="86"/>
      <c r="V66" s="86"/>
      <c r="W66" s="86"/>
      <c r="X66" s="80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</row>
    <row r="67" spans="1:62" x14ac:dyDescent="0.3">
      <c r="A67" s="92" t="s">
        <v>118</v>
      </c>
      <c r="B67" s="93" t="s">
        <v>109</v>
      </c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>
        <v>3000</v>
      </c>
      <c r="N67" s="85"/>
      <c r="O67" s="86"/>
      <c r="P67" s="86"/>
      <c r="Q67" s="86"/>
      <c r="R67" s="86"/>
      <c r="S67" s="86"/>
      <c r="T67" s="86"/>
      <c r="U67" s="86"/>
      <c r="V67" s="86"/>
      <c r="W67" s="86"/>
      <c r="X67" s="80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</row>
    <row r="68" spans="1:62" x14ac:dyDescent="0.3">
      <c r="A68" s="92" t="s">
        <v>119</v>
      </c>
      <c r="B68" s="93" t="s">
        <v>110</v>
      </c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>
        <v>3500</v>
      </c>
      <c r="O68" s="86"/>
      <c r="P68" s="86"/>
      <c r="Q68" s="86"/>
      <c r="R68" s="86"/>
      <c r="S68" s="86"/>
      <c r="T68" s="86"/>
      <c r="U68" s="86"/>
      <c r="V68" s="86"/>
      <c r="W68" s="86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9"/>
      <c r="AU68" s="79"/>
      <c r="AV68" s="79"/>
      <c r="AW68" s="79"/>
      <c r="AX68" s="79"/>
      <c r="AY68" s="79"/>
      <c r="AZ68" s="79"/>
      <c r="BA68" s="79"/>
      <c r="BB68" s="79"/>
      <c r="BC68" s="79"/>
      <c r="BD68" s="79"/>
      <c r="BE68" s="79"/>
      <c r="BF68" s="79"/>
      <c r="BG68" s="79"/>
      <c r="BH68" s="79"/>
      <c r="BI68" s="79"/>
      <c r="BJ68" s="79"/>
    </row>
    <row r="69" spans="1:62" x14ac:dyDescent="0.3">
      <c r="A69" s="92" t="s">
        <v>120</v>
      </c>
      <c r="B69" s="93" t="s">
        <v>111</v>
      </c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>
        <v>2800</v>
      </c>
      <c r="O69" s="86"/>
      <c r="P69" s="86"/>
      <c r="Q69" s="86"/>
      <c r="R69" s="86"/>
      <c r="S69" s="86"/>
      <c r="T69" s="86"/>
      <c r="U69" s="86"/>
      <c r="V69" s="86"/>
      <c r="W69" s="86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  <c r="AV69" s="79"/>
      <c r="AW69" s="79"/>
      <c r="AX69" s="79"/>
      <c r="AY69" s="79"/>
      <c r="AZ69" s="79"/>
      <c r="BA69" s="79"/>
      <c r="BB69" s="79"/>
      <c r="BC69" s="79"/>
      <c r="BD69" s="79"/>
      <c r="BE69" s="79"/>
      <c r="BF69" s="79"/>
      <c r="BG69" s="79"/>
      <c r="BH69" s="79"/>
      <c r="BI69" s="79"/>
      <c r="BJ69" s="79"/>
    </row>
    <row r="70" spans="1:62" x14ac:dyDescent="0.3">
      <c r="A70" s="92" t="s">
        <v>121</v>
      </c>
      <c r="B70" s="93" t="s">
        <v>112</v>
      </c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>
        <v>2000</v>
      </c>
      <c r="O70" s="86"/>
      <c r="P70" s="86"/>
      <c r="Q70" s="86"/>
      <c r="R70" s="86"/>
      <c r="S70" s="86"/>
      <c r="T70" s="86"/>
      <c r="U70" s="86"/>
      <c r="V70" s="86"/>
      <c r="W70" s="86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/>
      <c r="AT70" s="79"/>
      <c r="AU70" s="79"/>
      <c r="AV70" s="79"/>
      <c r="AW70" s="79"/>
      <c r="AX70" s="79"/>
      <c r="AY70" s="79"/>
      <c r="AZ70" s="79"/>
      <c r="BA70" s="79"/>
      <c r="BB70" s="79"/>
      <c r="BC70" s="79"/>
      <c r="BD70" s="79"/>
      <c r="BE70" s="79"/>
      <c r="BF70" s="79"/>
      <c r="BG70" s="79"/>
      <c r="BH70" s="79"/>
      <c r="BI70" s="79"/>
      <c r="BJ70" s="79"/>
    </row>
    <row r="71" spans="1:62" x14ac:dyDescent="0.3">
      <c r="A71" s="92" t="s">
        <v>122</v>
      </c>
      <c r="B71" s="93" t="s">
        <v>113</v>
      </c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>
        <v>1700</v>
      </c>
      <c r="O71" s="86"/>
      <c r="P71" s="86"/>
      <c r="Q71" s="86"/>
      <c r="R71" s="86"/>
      <c r="S71" s="86"/>
      <c r="T71" s="86"/>
      <c r="U71" s="86"/>
      <c r="V71" s="86"/>
      <c r="W71" s="86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79"/>
      <c r="AS71" s="79"/>
      <c r="AT71" s="79"/>
      <c r="AU71" s="79"/>
      <c r="AV71" s="79"/>
      <c r="AW71" s="79"/>
      <c r="AX71" s="79"/>
      <c r="AY71" s="79"/>
      <c r="AZ71" s="79"/>
      <c r="BA71" s="79"/>
      <c r="BB71" s="79"/>
      <c r="BC71" s="79"/>
      <c r="BD71" s="79"/>
      <c r="BE71" s="79"/>
      <c r="BF71" s="79"/>
      <c r="BG71" s="79"/>
      <c r="BH71" s="79"/>
      <c r="BI71" s="79"/>
      <c r="BJ71" s="79"/>
    </row>
    <row r="72" spans="1:62" x14ac:dyDescent="0.3">
      <c r="A72" s="92" t="s">
        <v>123</v>
      </c>
      <c r="B72" s="93" t="s">
        <v>114</v>
      </c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>
        <v>2700</v>
      </c>
      <c r="O72" s="86"/>
      <c r="P72" s="86"/>
      <c r="Q72" s="86"/>
      <c r="R72" s="86"/>
      <c r="S72" s="86"/>
      <c r="T72" s="86"/>
      <c r="U72" s="86"/>
      <c r="V72" s="86"/>
      <c r="W72" s="86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 s="79"/>
      <c r="AS72" s="79"/>
      <c r="AT72" s="79"/>
      <c r="AU72" s="79"/>
      <c r="AV72" s="79"/>
      <c r="AW72" s="79"/>
      <c r="AX72" s="79"/>
      <c r="AY72" s="79"/>
      <c r="AZ72" s="79"/>
      <c r="BA72" s="79"/>
      <c r="BB72" s="79"/>
      <c r="BC72" s="79"/>
      <c r="BD72" s="79"/>
      <c r="BE72" s="79"/>
      <c r="BF72" s="79"/>
      <c r="BG72" s="79"/>
      <c r="BH72" s="79"/>
      <c r="BI72" s="79"/>
      <c r="BJ72" s="79"/>
    </row>
    <row r="73" spans="1:62" x14ac:dyDescent="0.3">
      <c r="B73" s="96" t="s">
        <v>29</v>
      </c>
      <c r="C73" s="48">
        <f>SUM(C10:C31)</f>
        <v>13600</v>
      </c>
      <c r="D73" s="48">
        <f>SUM(D10:D31)</f>
        <v>15099</v>
      </c>
      <c r="E73" s="48">
        <f>SUM(E10:E31)</f>
        <v>17995</v>
      </c>
      <c r="F73" s="48">
        <f>SUM(F10:F31)</f>
        <v>21992</v>
      </c>
      <c r="G73" s="48">
        <f>SUM(G10:G34)</f>
        <v>26500</v>
      </c>
      <c r="H73" s="48">
        <f>SUM(H10:H39)</f>
        <v>32400</v>
      </c>
      <c r="I73" s="48">
        <f>SUM(I41:I50)</f>
        <v>35200</v>
      </c>
      <c r="J73" s="48">
        <f>SUM(J46:J50)</f>
        <v>38100</v>
      </c>
      <c r="K73" s="48">
        <f>SUM(K52:K56)</f>
        <v>34600</v>
      </c>
      <c r="L73" s="48">
        <f>SUM(L57:L61)</f>
        <v>24700</v>
      </c>
      <c r="M73" s="48">
        <f>SUM(M63:M67)</f>
        <v>16800</v>
      </c>
      <c r="N73" s="48">
        <f>SUM(N68:N72)</f>
        <v>12700</v>
      </c>
      <c r="O73" s="37">
        <f>SUM(O10:O31)</f>
        <v>0</v>
      </c>
      <c r="P73" s="37">
        <f>SUM(P10:P31)</f>
        <v>0</v>
      </c>
      <c r="Q73" s="37">
        <f>SUM(Q10:Q31)</f>
        <v>0</v>
      </c>
      <c r="R73" s="37">
        <f>SUM(R10:R31)</f>
        <v>0</v>
      </c>
      <c r="S73" s="37">
        <f>SUM(S10:S31)</f>
        <v>0</v>
      </c>
      <c r="T73" s="37">
        <f>SUM(T10:T31)</f>
        <v>0</v>
      </c>
      <c r="U73" s="37">
        <f>SUM(U10:U31)</f>
        <v>0</v>
      </c>
      <c r="V73" s="37">
        <f>SUM(V10:V31)</f>
        <v>0</v>
      </c>
      <c r="W73" s="37">
        <f>SUM(W10:W31)</f>
        <v>0</v>
      </c>
      <c r="X73" s="37">
        <f>SUM(X10:X31)</f>
        <v>0</v>
      </c>
      <c r="Y73" s="37">
        <f>SUM(Y10:Y31)</f>
        <v>0</v>
      </c>
      <c r="Z73" s="37">
        <f>SUM(Z10:Z31)</f>
        <v>0</v>
      </c>
      <c r="AA73" s="37">
        <f>SUM(AA10:AA31)</f>
        <v>0</v>
      </c>
      <c r="AB73" s="37">
        <f>SUM(AB10:AB31)</f>
        <v>0</v>
      </c>
      <c r="AC73" s="37">
        <f>SUM(AC10:AC31)</f>
        <v>0</v>
      </c>
      <c r="AD73" s="37">
        <f>SUM(AD10:AD37)</f>
        <v>32400</v>
      </c>
      <c r="AE73" s="37">
        <f>SUM(AE41:AE46)</f>
        <v>35200</v>
      </c>
      <c r="AF73" s="37">
        <f>SUM(AF10:AF31)</f>
        <v>0</v>
      </c>
      <c r="AG73" s="37">
        <f>SUM(AG10:AG31)</f>
        <v>0</v>
      </c>
      <c r="AH73" s="37">
        <f>SUM(AH10:AH31)</f>
        <v>0</v>
      </c>
      <c r="AI73" s="37">
        <f t="shared" ref="AI73:BJ73" si="0">SUM(AI10:AI31)</f>
        <v>0</v>
      </c>
      <c r="AJ73" s="37">
        <f t="shared" si="0"/>
        <v>0</v>
      </c>
      <c r="AK73" s="37">
        <f t="shared" si="0"/>
        <v>0</v>
      </c>
      <c r="AL73" s="37">
        <f t="shared" si="0"/>
        <v>0</v>
      </c>
      <c r="AM73" s="37">
        <f t="shared" si="0"/>
        <v>0</v>
      </c>
      <c r="AN73" s="37">
        <f t="shared" si="0"/>
        <v>0</v>
      </c>
      <c r="AO73" s="37">
        <f t="shared" si="0"/>
        <v>0</v>
      </c>
      <c r="AP73" s="37">
        <f t="shared" si="0"/>
        <v>0</v>
      </c>
      <c r="AQ73" s="37">
        <f t="shared" si="0"/>
        <v>0</v>
      </c>
      <c r="AR73" s="37">
        <f t="shared" si="0"/>
        <v>0</v>
      </c>
      <c r="AS73" s="37">
        <f t="shared" si="0"/>
        <v>0</v>
      </c>
      <c r="AT73" s="37">
        <f t="shared" si="0"/>
        <v>0</v>
      </c>
      <c r="AU73" s="37">
        <f t="shared" si="0"/>
        <v>0</v>
      </c>
      <c r="AV73" s="37">
        <f t="shared" si="0"/>
        <v>0</v>
      </c>
      <c r="AW73" s="37">
        <f t="shared" si="0"/>
        <v>0</v>
      </c>
      <c r="AX73" s="37">
        <f t="shared" si="0"/>
        <v>0</v>
      </c>
      <c r="AY73" s="37">
        <f t="shared" si="0"/>
        <v>0</v>
      </c>
      <c r="AZ73" s="37">
        <f t="shared" si="0"/>
        <v>0</v>
      </c>
      <c r="BA73" s="37">
        <f t="shared" si="0"/>
        <v>0</v>
      </c>
      <c r="BB73" s="37">
        <f t="shared" si="0"/>
        <v>0</v>
      </c>
      <c r="BC73" s="37">
        <f t="shared" si="0"/>
        <v>0</v>
      </c>
      <c r="BD73" s="37">
        <f t="shared" si="0"/>
        <v>0</v>
      </c>
      <c r="BE73" s="37">
        <f t="shared" si="0"/>
        <v>0</v>
      </c>
      <c r="BF73" s="37">
        <f t="shared" si="0"/>
        <v>0</v>
      </c>
      <c r="BG73" s="37">
        <f t="shared" si="0"/>
        <v>0</v>
      </c>
      <c r="BH73" s="37">
        <f t="shared" si="0"/>
        <v>0</v>
      </c>
      <c r="BI73" s="37">
        <f t="shared" si="0"/>
        <v>0</v>
      </c>
      <c r="BJ73" s="37">
        <f t="shared" si="0"/>
        <v>0</v>
      </c>
    </row>
    <row r="74" spans="1:62" x14ac:dyDescent="0.3">
      <c r="O74" s="39"/>
    </row>
    <row r="75" spans="1:62" x14ac:dyDescent="0.3">
      <c r="F75" s="50"/>
    </row>
    <row r="76" spans="1:62" x14ac:dyDescent="0.3">
      <c r="E76" s="42"/>
      <c r="F76" s="49"/>
    </row>
    <row r="78" spans="1:62" x14ac:dyDescent="0.3">
      <c r="D78" s="42"/>
    </row>
  </sheetData>
  <mergeCells count="8">
    <mergeCell ref="A62:B62"/>
    <mergeCell ref="A40:B40"/>
    <mergeCell ref="A51:B51"/>
    <mergeCell ref="A6:D6"/>
    <mergeCell ref="A8:B8"/>
    <mergeCell ref="A16:B16"/>
    <mergeCell ref="A28:B28"/>
    <mergeCell ref="A9:B9"/>
  </mergeCells>
  <phoneticPr fontId="11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44"/>
  <sheetViews>
    <sheetView showGridLines="0" tabSelected="1" topLeftCell="C18" zoomScale="90" zoomScaleNormal="90" workbookViewId="0">
      <selection activeCell="J18" sqref="J18"/>
    </sheetView>
  </sheetViews>
  <sheetFormatPr baseColWidth="10" defaultColWidth="11.44140625" defaultRowHeight="14.4" x14ac:dyDescent="0.3"/>
  <cols>
    <col min="2" max="2" width="3.33203125" customWidth="1"/>
    <col min="3" max="3" width="44.6640625" bestFit="1" customWidth="1"/>
    <col min="4" max="4" width="16.6640625" customWidth="1"/>
    <col min="5" max="5" width="16.109375" bestFit="1" customWidth="1"/>
    <col min="6" max="6" width="17.44140625" customWidth="1"/>
    <col min="7" max="8" width="14.77734375" bestFit="1" customWidth="1"/>
    <col min="9" max="9" width="14.44140625" bestFit="1" customWidth="1"/>
    <col min="10" max="10" width="16.44140625" bestFit="1" customWidth="1"/>
    <col min="11" max="11" width="14.44140625" bestFit="1" customWidth="1"/>
    <col min="12" max="12" width="16.44140625" bestFit="1" customWidth="1"/>
    <col min="13" max="14" width="15.44140625" bestFit="1" customWidth="1"/>
    <col min="15" max="15" width="16.6640625" customWidth="1"/>
    <col min="16" max="16" width="3.33203125" customWidth="1"/>
  </cols>
  <sheetData>
    <row r="1" spans="2:15" ht="15" thickBot="1" x14ac:dyDescent="0.35"/>
    <row r="2" spans="2:15" ht="15" thickTop="1" x14ac:dyDescent="0.3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2:15" x14ac:dyDescent="0.3">
      <c r="B3" s="5"/>
      <c r="O3" s="6"/>
    </row>
    <row r="4" spans="2:15" x14ac:dyDescent="0.3">
      <c r="B4" s="5"/>
      <c r="O4" s="6"/>
    </row>
    <row r="5" spans="2:15" x14ac:dyDescent="0.3">
      <c r="B5" s="5"/>
      <c r="O5" s="6"/>
    </row>
    <row r="6" spans="2:15" x14ac:dyDescent="0.3">
      <c r="B6" s="5"/>
      <c r="O6" s="6"/>
    </row>
    <row r="7" spans="2:15" ht="21" x14ac:dyDescent="0.4">
      <c r="B7" s="5"/>
      <c r="C7" s="56" t="s">
        <v>10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7"/>
    </row>
    <row r="8" spans="2:15" x14ac:dyDescent="0.3">
      <c r="B8" s="5"/>
      <c r="O8" s="6"/>
    </row>
    <row r="9" spans="2:15" x14ac:dyDescent="0.3">
      <c r="B9" s="5"/>
      <c r="C9" s="20" t="s">
        <v>2</v>
      </c>
      <c r="D9" s="17" t="s">
        <v>40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9"/>
    </row>
    <row r="10" spans="2:15" x14ac:dyDescent="0.3">
      <c r="B10" s="5"/>
      <c r="C10" s="20" t="s">
        <v>3</v>
      </c>
      <c r="D10" s="58" t="s">
        <v>41</v>
      </c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60"/>
    </row>
    <row r="11" spans="2:15" x14ac:dyDescent="0.3">
      <c r="B11" s="5"/>
      <c r="C11" s="20" t="s">
        <v>6</v>
      </c>
      <c r="D11" s="61">
        <v>46054</v>
      </c>
      <c r="E11" s="62"/>
      <c r="F11" s="63" t="s">
        <v>7</v>
      </c>
      <c r="G11" s="64"/>
      <c r="H11" s="58" t="s">
        <v>12</v>
      </c>
      <c r="I11" s="59"/>
      <c r="J11" s="65"/>
      <c r="K11" s="63" t="s">
        <v>4</v>
      </c>
      <c r="L11" s="64"/>
      <c r="M11" s="61" t="s">
        <v>13</v>
      </c>
      <c r="N11" s="66"/>
      <c r="O11" s="67"/>
    </row>
    <row r="12" spans="2:15" x14ac:dyDescent="0.3">
      <c r="B12" s="5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5"/>
    </row>
    <row r="13" spans="2:15" x14ac:dyDescent="0.3">
      <c r="B13" s="5"/>
      <c r="C13" s="21"/>
      <c r="D13" s="54" t="s">
        <v>30</v>
      </c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5"/>
    </row>
    <row r="14" spans="2:15" x14ac:dyDescent="0.3">
      <c r="B14" s="5"/>
      <c r="C14" s="20" t="s">
        <v>39</v>
      </c>
      <c r="D14" s="23">
        <v>1</v>
      </c>
      <c r="E14" s="23">
        <v>2</v>
      </c>
      <c r="F14" s="23">
        <v>3</v>
      </c>
      <c r="G14" s="23">
        <v>4</v>
      </c>
      <c r="H14" s="23">
        <v>5</v>
      </c>
      <c r="I14" s="23">
        <v>6</v>
      </c>
      <c r="J14" s="23">
        <v>7</v>
      </c>
      <c r="K14" s="23">
        <v>8</v>
      </c>
      <c r="L14" s="23">
        <v>9</v>
      </c>
      <c r="M14" s="23">
        <v>10</v>
      </c>
      <c r="N14" s="23">
        <v>11</v>
      </c>
      <c r="O14" s="23">
        <v>12</v>
      </c>
    </row>
    <row r="15" spans="2:15" x14ac:dyDescent="0.3">
      <c r="B15" s="5"/>
      <c r="C15" s="20" t="s">
        <v>0</v>
      </c>
      <c r="D15" s="1">
        <f>'Detalle de Costos'!C9</f>
        <v>14000</v>
      </c>
      <c r="E15" s="1">
        <f>'Detalle de Costos'!D9</f>
        <v>16000</v>
      </c>
      <c r="F15" s="1">
        <f>'Detalle de Costos'!E9</f>
        <v>20000</v>
      </c>
      <c r="G15" s="1">
        <f>'Detalle de Costos'!F9</f>
        <v>25000</v>
      </c>
      <c r="H15" s="1">
        <f>'Detalle de Costos'!G9</f>
        <v>27000</v>
      </c>
      <c r="I15" s="1">
        <f>'Detalle de Costos'!H9</f>
        <v>33000</v>
      </c>
      <c r="J15" s="1">
        <f>'Detalle de Costos'!I9</f>
        <v>36000</v>
      </c>
      <c r="K15" s="1">
        <f>'Detalle de Costos'!J9</f>
        <v>39000</v>
      </c>
      <c r="L15" s="1">
        <f>'Detalle de Costos'!K9</f>
        <v>35000</v>
      </c>
      <c r="M15" s="1">
        <f>'Detalle de Costos'!L9</f>
        <v>25000</v>
      </c>
      <c r="N15" s="1">
        <f>'Detalle de Costos'!M9</f>
        <v>17000</v>
      </c>
      <c r="O15" s="1">
        <f>'Detalle de Costos'!N9</f>
        <v>13000</v>
      </c>
    </row>
    <row r="16" spans="2:15" x14ac:dyDescent="0.3">
      <c r="B16" s="5"/>
      <c r="C16" s="20" t="s">
        <v>8</v>
      </c>
      <c r="D16" s="16">
        <f>D15</f>
        <v>14000</v>
      </c>
      <c r="E16" s="1">
        <f>E15+D16</f>
        <v>30000</v>
      </c>
      <c r="F16" s="1">
        <f t="shared" ref="F16:O16" si="0">F15+E16</f>
        <v>50000</v>
      </c>
      <c r="G16" s="1">
        <f t="shared" si="0"/>
        <v>75000</v>
      </c>
      <c r="H16" s="1">
        <f t="shared" si="0"/>
        <v>102000</v>
      </c>
      <c r="I16" s="1">
        <f t="shared" si="0"/>
        <v>135000</v>
      </c>
      <c r="J16" s="1">
        <f t="shared" si="0"/>
        <v>171000</v>
      </c>
      <c r="K16" s="1">
        <f t="shared" si="0"/>
        <v>210000</v>
      </c>
      <c r="L16" s="1">
        <f t="shared" si="0"/>
        <v>245000</v>
      </c>
      <c r="M16" s="1">
        <f t="shared" si="0"/>
        <v>270000</v>
      </c>
      <c r="N16" s="1">
        <f t="shared" si="0"/>
        <v>287000</v>
      </c>
      <c r="O16" s="1">
        <f t="shared" si="0"/>
        <v>300000</v>
      </c>
    </row>
    <row r="17" spans="2:15" x14ac:dyDescent="0.3">
      <c r="B17" s="5"/>
      <c r="C17" s="20" t="s">
        <v>1</v>
      </c>
      <c r="D17" s="1">
        <f>'Detalle de Costos'!C73</f>
        <v>13600</v>
      </c>
      <c r="E17" s="1">
        <f>'Detalle de Costos'!D73</f>
        <v>15099</v>
      </c>
      <c r="F17" s="1">
        <f>'Detalle de Costos'!E73</f>
        <v>17995</v>
      </c>
      <c r="G17" s="1">
        <f>'Detalle de Costos'!F73</f>
        <v>21992</v>
      </c>
      <c r="H17" s="1">
        <f>'Detalle de Costos'!G73</f>
        <v>26500</v>
      </c>
      <c r="I17" s="1">
        <f>'Detalle de Costos'!H73</f>
        <v>32400</v>
      </c>
      <c r="J17" s="1">
        <f>'Detalle de Costos'!I73</f>
        <v>35200</v>
      </c>
      <c r="K17" s="1">
        <f>'Detalle de Costos'!J73</f>
        <v>38100</v>
      </c>
      <c r="L17" s="1">
        <f>'Detalle de Costos'!K73</f>
        <v>34600</v>
      </c>
      <c r="M17" s="1">
        <f>'Detalle de Costos'!L73</f>
        <v>24700</v>
      </c>
      <c r="N17" s="1">
        <f>'Detalle de Costos'!M73</f>
        <v>16800</v>
      </c>
      <c r="O17" s="1">
        <f>'Detalle de Costos'!N73</f>
        <v>12700</v>
      </c>
    </row>
    <row r="18" spans="2:15" x14ac:dyDescent="0.3">
      <c r="B18" s="5"/>
      <c r="C18" s="20" t="s">
        <v>9</v>
      </c>
      <c r="D18" s="1">
        <f>D17</f>
        <v>13600</v>
      </c>
      <c r="E18" s="1">
        <f>D18+E17</f>
        <v>28699</v>
      </c>
      <c r="F18" s="1">
        <f t="shared" ref="F18:G18" si="1">E18+F17</f>
        <v>46694</v>
      </c>
      <c r="G18" s="1">
        <f t="shared" si="1"/>
        <v>68686</v>
      </c>
      <c r="H18" s="1">
        <f t="shared" ref="H18" si="2">G18+H17</f>
        <v>95186</v>
      </c>
      <c r="I18" s="1">
        <f t="shared" ref="I18" si="3">H18+I17</f>
        <v>127586</v>
      </c>
      <c r="J18" s="1">
        <f t="shared" ref="J18" si="4">I18+J17</f>
        <v>162786</v>
      </c>
      <c r="K18" s="1">
        <f t="shared" ref="K18" si="5">J18+K17</f>
        <v>200886</v>
      </c>
      <c r="L18" s="1">
        <f t="shared" ref="L18" si="6">K18+L17</f>
        <v>235486</v>
      </c>
      <c r="M18" s="1">
        <f t="shared" ref="M18" si="7">L18+M17</f>
        <v>260186</v>
      </c>
      <c r="N18" s="1">
        <f t="shared" ref="N18" si="8">M18+N17</f>
        <v>276986</v>
      </c>
      <c r="O18" s="1">
        <f t="shared" ref="O18" si="9">N18+O17</f>
        <v>289686</v>
      </c>
    </row>
    <row r="19" spans="2:15" x14ac:dyDescent="0.3">
      <c r="B19" s="5"/>
      <c r="O19" s="6"/>
    </row>
    <row r="20" spans="2:15" x14ac:dyDescent="0.3">
      <c r="B20" s="5"/>
      <c r="O20" s="6"/>
    </row>
    <row r="21" spans="2:15" x14ac:dyDescent="0.3">
      <c r="B21" s="5"/>
      <c r="C21" s="7"/>
      <c r="D21" s="13"/>
      <c r="E21" s="14"/>
      <c r="O21" s="6"/>
    </row>
    <row r="22" spans="2:15" x14ac:dyDescent="0.3">
      <c r="B22" s="5"/>
      <c r="O22" s="6"/>
    </row>
    <row r="23" spans="2:15" x14ac:dyDescent="0.3">
      <c r="B23" s="5"/>
      <c r="O23" s="6"/>
    </row>
    <row r="24" spans="2:15" x14ac:dyDescent="0.3">
      <c r="B24" s="5"/>
      <c r="O24" s="6"/>
    </row>
    <row r="25" spans="2:15" x14ac:dyDescent="0.3">
      <c r="B25" s="5"/>
      <c r="O25" s="6"/>
    </row>
    <row r="26" spans="2:15" x14ac:dyDescent="0.3">
      <c r="B26" s="5"/>
      <c r="O26" s="6"/>
    </row>
    <row r="27" spans="2:15" x14ac:dyDescent="0.3">
      <c r="B27" s="5"/>
      <c r="O27" s="6"/>
    </row>
    <row r="28" spans="2:15" x14ac:dyDescent="0.3">
      <c r="B28" s="5"/>
      <c r="O28" s="6"/>
    </row>
    <row r="29" spans="2:15" x14ac:dyDescent="0.3">
      <c r="B29" s="5"/>
      <c r="O29" s="6"/>
    </row>
    <row r="30" spans="2:15" x14ac:dyDescent="0.3">
      <c r="B30" s="5"/>
      <c r="O30" s="6"/>
    </row>
    <row r="31" spans="2:15" x14ac:dyDescent="0.3">
      <c r="B31" s="5"/>
      <c r="O31" s="6"/>
    </row>
    <row r="32" spans="2:15" x14ac:dyDescent="0.3">
      <c r="B32" s="5"/>
      <c r="O32" s="6"/>
    </row>
    <row r="33" spans="2:15" x14ac:dyDescent="0.3">
      <c r="B33" s="5"/>
      <c r="O33" s="6"/>
    </row>
    <row r="34" spans="2:15" x14ac:dyDescent="0.3">
      <c r="B34" s="5"/>
      <c r="O34" s="6"/>
    </row>
    <row r="35" spans="2:15" x14ac:dyDescent="0.3">
      <c r="B35" s="5"/>
      <c r="O35" s="6"/>
    </row>
    <row r="36" spans="2:15" x14ac:dyDescent="0.3">
      <c r="B36" s="5"/>
      <c r="O36" s="6"/>
    </row>
    <row r="37" spans="2:15" x14ac:dyDescent="0.3">
      <c r="B37" s="5"/>
      <c r="O37" s="6"/>
    </row>
    <row r="38" spans="2:15" x14ac:dyDescent="0.3">
      <c r="B38" s="5"/>
      <c r="O38" s="6"/>
    </row>
    <row r="39" spans="2:15" x14ac:dyDescent="0.3">
      <c r="B39" s="5"/>
      <c r="O39" s="6"/>
    </row>
    <row r="40" spans="2:15" x14ac:dyDescent="0.3">
      <c r="B40" s="5"/>
      <c r="O40" s="6"/>
    </row>
    <row r="41" spans="2:15" x14ac:dyDescent="0.3">
      <c r="B41" s="5"/>
      <c r="O41" s="6"/>
    </row>
    <row r="42" spans="2:15" x14ac:dyDescent="0.3">
      <c r="B42" s="5"/>
      <c r="O42" s="6"/>
    </row>
    <row r="43" spans="2:15" ht="15" thickBot="1" x14ac:dyDescent="0.35"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</row>
    <row r="44" spans="2:15" ht="15" thickTop="1" x14ac:dyDescent="0.3"/>
  </sheetData>
  <mergeCells count="8">
    <mergeCell ref="D13:O13"/>
    <mergeCell ref="C7:O7"/>
    <mergeCell ref="D10:O10"/>
    <mergeCell ref="D11:E11"/>
    <mergeCell ref="F11:G11"/>
    <mergeCell ref="H11:J11"/>
    <mergeCell ref="K11:L11"/>
    <mergeCell ref="M11:O11"/>
  </mergeCells>
  <phoneticPr fontId="11" type="noConversion"/>
  <pageMargins left="0.7" right="0.7" top="0.75" bottom="0.75" header="0.3" footer="0.3"/>
  <pageSetup scale="3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44"/>
  <sheetViews>
    <sheetView showGridLines="0" topLeftCell="A9" zoomScale="80" zoomScaleNormal="80" workbookViewId="0">
      <selection activeCell="P14" sqref="P14"/>
    </sheetView>
  </sheetViews>
  <sheetFormatPr baseColWidth="10" defaultColWidth="11.44140625" defaultRowHeight="14.4" x14ac:dyDescent="0.3"/>
  <cols>
    <col min="2" max="2" width="3.33203125" customWidth="1"/>
    <col min="3" max="3" width="44.6640625" bestFit="1" customWidth="1"/>
    <col min="4" max="4" width="20" customWidth="1"/>
    <col min="5" max="5" width="16.109375" bestFit="1" customWidth="1"/>
    <col min="6" max="6" width="17.44140625" customWidth="1"/>
    <col min="7" max="8" width="14.77734375" bestFit="1" customWidth="1"/>
    <col min="9" max="9" width="14.44140625" bestFit="1" customWidth="1"/>
    <col min="10" max="10" width="16.44140625" bestFit="1" customWidth="1"/>
    <col min="11" max="11" width="14.44140625" bestFit="1" customWidth="1"/>
    <col min="12" max="12" width="16.44140625" bestFit="1" customWidth="1"/>
    <col min="13" max="14" width="15.44140625" bestFit="1" customWidth="1"/>
    <col min="15" max="15" width="16.109375" bestFit="1" customWidth="1"/>
    <col min="16" max="16" width="3.33203125" customWidth="1"/>
  </cols>
  <sheetData>
    <row r="1" spans="2:15" ht="15" thickBot="1" x14ac:dyDescent="0.35"/>
    <row r="2" spans="2:15" ht="15" thickTop="1" x14ac:dyDescent="0.3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2:15" x14ac:dyDescent="0.3">
      <c r="B3" s="5"/>
      <c r="O3" s="6"/>
    </row>
    <row r="4" spans="2:15" x14ac:dyDescent="0.3">
      <c r="B4" s="5"/>
      <c r="O4" s="6"/>
    </row>
    <row r="5" spans="2:15" x14ac:dyDescent="0.3">
      <c r="B5" s="5"/>
      <c r="O5" s="6"/>
    </row>
    <row r="6" spans="2:15" x14ac:dyDescent="0.3">
      <c r="B6" s="5"/>
      <c r="O6" s="6"/>
    </row>
    <row r="7" spans="2:15" ht="21" x14ac:dyDescent="0.4">
      <c r="B7" s="5"/>
      <c r="C7" s="56" t="s">
        <v>10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7"/>
    </row>
    <row r="8" spans="2:15" x14ac:dyDescent="0.3">
      <c r="B8" s="5"/>
      <c r="O8" s="6"/>
    </row>
    <row r="9" spans="2:15" x14ac:dyDescent="0.3">
      <c r="B9" s="5"/>
      <c r="C9" s="20" t="s">
        <v>2</v>
      </c>
      <c r="D9" s="73" t="s">
        <v>15</v>
      </c>
      <c r="E9" s="73"/>
      <c r="F9" s="73"/>
      <c r="G9" s="73"/>
      <c r="H9" s="73"/>
      <c r="I9" s="73"/>
      <c r="J9" s="73"/>
      <c r="K9" s="73"/>
      <c r="L9" s="73"/>
      <c r="M9" s="73"/>
      <c r="N9" s="73"/>
      <c r="O9" s="74"/>
    </row>
    <row r="10" spans="2:15" x14ac:dyDescent="0.3">
      <c r="B10" s="5"/>
      <c r="C10" s="20" t="s">
        <v>3</v>
      </c>
      <c r="D10" s="73" t="s">
        <v>14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4"/>
    </row>
    <row r="11" spans="2:15" x14ac:dyDescent="0.3">
      <c r="B11" s="5"/>
      <c r="C11" s="20" t="s">
        <v>6</v>
      </c>
      <c r="D11" s="75">
        <v>40695</v>
      </c>
      <c r="E11" s="76"/>
      <c r="F11" s="77" t="s">
        <v>7</v>
      </c>
      <c r="G11" s="77"/>
      <c r="H11" s="75">
        <v>41455</v>
      </c>
      <c r="I11" s="76"/>
      <c r="J11" s="76"/>
      <c r="K11" s="77" t="s">
        <v>4</v>
      </c>
      <c r="L11" s="77"/>
      <c r="M11" s="75">
        <v>40908</v>
      </c>
      <c r="N11" s="76"/>
      <c r="O11" s="78"/>
    </row>
    <row r="12" spans="2:15" x14ac:dyDescent="0.3">
      <c r="B12" s="5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5"/>
    </row>
    <row r="13" spans="2:15" x14ac:dyDescent="0.3">
      <c r="B13" s="5"/>
      <c r="C13" s="21"/>
      <c r="D13" s="54" t="s">
        <v>5</v>
      </c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5"/>
    </row>
    <row r="14" spans="2:15" x14ac:dyDescent="0.3">
      <c r="B14" s="5"/>
      <c r="C14" s="22"/>
      <c r="D14" s="23">
        <v>1</v>
      </c>
      <c r="E14" s="23">
        <v>2</v>
      </c>
      <c r="F14" s="23">
        <v>3</v>
      </c>
      <c r="G14" s="23">
        <v>4</v>
      </c>
      <c r="H14" s="23">
        <v>5</v>
      </c>
      <c r="I14" s="23">
        <v>6</v>
      </c>
      <c r="J14" s="23">
        <v>7</v>
      </c>
      <c r="K14" s="23">
        <v>8</v>
      </c>
      <c r="L14" s="23">
        <v>9</v>
      </c>
      <c r="M14" s="23">
        <v>10</v>
      </c>
      <c r="N14" s="23">
        <v>11</v>
      </c>
      <c r="O14" s="24">
        <v>12</v>
      </c>
    </row>
    <row r="15" spans="2:15" x14ac:dyDescent="0.3">
      <c r="B15" s="5"/>
      <c r="C15" s="20" t="s">
        <v>0</v>
      </c>
      <c r="D15" s="25">
        <v>20000</v>
      </c>
      <c r="E15" s="25">
        <v>40000</v>
      </c>
      <c r="F15" s="25">
        <v>60000</v>
      </c>
      <c r="G15" s="25">
        <v>80000</v>
      </c>
      <c r="H15" s="25">
        <v>120000</v>
      </c>
      <c r="I15" s="25">
        <v>140000</v>
      </c>
      <c r="J15" s="25">
        <v>160000</v>
      </c>
      <c r="K15" s="25">
        <v>180000</v>
      </c>
      <c r="L15" s="25">
        <v>180000</v>
      </c>
      <c r="M15" s="25">
        <v>120000</v>
      </c>
      <c r="N15" s="25">
        <v>80000</v>
      </c>
      <c r="O15" s="26">
        <v>40000</v>
      </c>
    </row>
    <row r="16" spans="2:15" x14ac:dyDescent="0.3">
      <c r="B16" s="5"/>
      <c r="C16" s="20" t="s">
        <v>8</v>
      </c>
      <c r="D16" s="25">
        <f>D15</f>
        <v>20000</v>
      </c>
      <c r="E16" s="25">
        <f>D16+E15</f>
        <v>60000</v>
      </c>
      <c r="F16" s="25">
        <f t="shared" ref="F16:O16" si="0">E16+F15</f>
        <v>120000</v>
      </c>
      <c r="G16" s="25">
        <f t="shared" si="0"/>
        <v>200000</v>
      </c>
      <c r="H16" s="25">
        <f t="shared" si="0"/>
        <v>320000</v>
      </c>
      <c r="I16" s="25">
        <f t="shared" si="0"/>
        <v>460000</v>
      </c>
      <c r="J16" s="25">
        <f t="shared" si="0"/>
        <v>620000</v>
      </c>
      <c r="K16" s="25">
        <f t="shared" si="0"/>
        <v>800000</v>
      </c>
      <c r="L16" s="25">
        <f t="shared" si="0"/>
        <v>980000</v>
      </c>
      <c r="M16" s="25">
        <f t="shared" si="0"/>
        <v>1100000</v>
      </c>
      <c r="N16" s="25">
        <f t="shared" si="0"/>
        <v>1180000</v>
      </c>
      <c r="O16" s="26">
        <f t="shared" si="0"/>
        <v>1220000</v>
      </c>
    </row>
    <row r="17" spans="2:15" x14ac:dyDescent="0.3">
      <c r="B17" s="5"/>
      <c r="C17" s="20" t="s">
        <v>1</v>
      </c>
      <c r="D17" s="25">
        <v>20000</v>
      </c>
      <c r="E17" s="25">
        <v>20000</v>
      </c>
      <c r="F17" s="25">
        <v>40000</v>
      </c>
      <c r="G17" s="25">
        <v>60000</v>
      </c>
      <c r="H17" s="25">
        <v>80000</v>
      </c>
      <c r="I17" s="25">
        <v>100000</v>
      </c>
      <c r="J17" s="25">
        <v>150000</v>
      </c>
      <c r="K17" s="25"/>
      <c r="L17" s="25"/>
      <c r="M17" s="25"/>
      <c r="N17" s="25"/>
      <c r="O17" s="26"/>
    </row>
    <row r="18" spans="2:15" x14ac:dyDescent="0.3">
      <c r="B18" s="5"/>
      <c r="C18" s="20" t="s">
        <v>9</v>
      </c>
      <c r="D18" s="25">
        <f>D17</f>
        <v>20000</v>
      </c>
      <c r="E18" s="25">
        <f>D18+E17</f>
        <v>40000</v>
      </c>
      <c r="F18" s="25">
        <f t="shared" ref="F18:J18" si="1">E18+F17</f>
        <v>80000</v>
      </c>
      <c r="G18" s="25">
        <f t="shared" si="1"/>
        <v>140000</v>
      </c>
      <c r="H18" s="25">
        <f t="shared" si="1"/>
        <v>220000</v>
      </c>
      <c r="I18" s="25">
        <f t="shared" si="1"/>
        <v>320000</v>
      </c>
      <c r="J18" s="25">
        <f t="shared" si="1"/>
        <v>470000</v>
      </c>
      <c r="K18" s="25"/>
      <c r="L18" s="25"/>
      <c r="M18" s="25"/>
      <c r="N18" s="25"/>
      <c r="O18" s="26"/>
    </row>
    <row r="19" spans="2:15" x14ac:dyDescent="0.3">
      <c r="B19" s="5"/>
      <c r="O19" s="6"/>
    </row>
    <row r="20" spans="2:15" x14ac:dyDescent="0.3">
      <c r="B20" s="5"/>
      <c r="O20" s="6"/>
    </row>
    <row r="21" spans="2:15" x14ac:dyDescent="0.3">
      <c r="B21" s="5"/>
      <c r="C21" s="7"/>
      <c r="D21" s="13"/>
      <c r="E21" s="14"/>
      <c r="O21" s="6"/>
    </row>
    <row r="22" spans="2:15" x14ac:dyDescent="0.3">
      <c r="B22" s="5"/>
      <c r="O22" s="6"/>
    </row>
    <row r="23" spans="2:15" x14ac:dyDescent="0.3">
      <c r="B23" s="5"/>
      <c r="O23" s="6"/>
    </row>
    <row r="24" spans="2:15" x14ac:dyDescent="0.3">
      <c r="B24" s="5"/>
      <c r="O24" s="6"/>
    </row>
    <row r="25" spans="2:15" x14ac:dyDescent="0.3">
      <c r="B25" s="5"/>
      <c r="O25" s="6"/>
    </row>
    <row r="26" spans="2:15" x14ac:dyDescent="0.3">
      <c r="B26" s="5"/>
      <c r="O26" s="6"/>
    </row>
    <row r="27" spans="2:15" x14ac:dyDescent="0.3">
      <c r="B27" s="5"/>
      <c r="O27" s="6"/>
    </row>
    <row r="28" spans="2:15" x14ac:dyDescent="0.3">
      <c r="B28" s="5"/>
      <c r="O28" s="6"/>
    </row>
    <row r="29" spans="2:15" x14ac:dyDescent="0.3">
      <c r="B29" s="5"/>
      <c r="O29" s="6"/>
    </row>
    <row r="30" spans="2:15" x14ac:dyDescent="0.3">
      <c r="B30" s="5"/>
      <c r="O30" s="6"/>
    </row>
    <row r="31" spans="2:15" x14ac:dyDescent="0.3">
      <c r="B31" s="5"/>
      <c r="O31" s="6"/>
    </row>
    <row r="32" spans="2:15" x14ac:dyDescent="0.3">
      <c r="B32" s="5"/>
      <c r="O32" s="6"/>
    </row>
    <row r="33" spans="2:15" x14ac:dyDescent="0.3">
      <c r="B33" s="5"/>
      <c r="O33" s="6"/>
    </row>
    <row r="34" spans="2:15" x14ac:dyDescent="0.3">
      <c r="B34" s="5"/>
      <c r="O34" s="6"/>
    </row>
    <row r="35" spans="2:15" x14ac:dyDescent="0.3">
      <c r="B35" s="5"/>
      <c r="O35" s="6"/>
    </row>
    <row r="36" spans="2:15" x14ac:dyDescent="0.3">
      <c r="B36" s="5"/>
      <c r="O36" s="6"/>
    </row>
    <row r="37" spans="2:15" x14ac:dyDescent="0.3">
      <c r="B37" s="5"/>
      <c r="O37" s="6"/>
    </row>
    <row r="38" spans="2:15" x14ac:dyDescent="0.3">
      <c r="B38" s="5"/>
      <c r="O38" s="6"/>
    </row>
    <row r="39" spans="2:15" x14ac:dyDescent="0.3">
      <c r="B39" s="5"/>
      <c r="O39" s="6"/>
    </row>
    <row r="40" spans="2:15" x14ac:dyDescent="0.3">
      <c r="B40" s="5"/>
      <c r="O40" s="6"/>
    </row>
    <row r="41" spans="2:15" x14ac:dyDescent="0.3">
      <c r="B41" s="5"/>
      <c r="O41" s="6"/>
    </row>
    <row r="42" spans="2:15" x14ac:dyDescent="0.3">
      <c r="B42" s="5"/>
      <c r="O42" s="6"/>
    </row>
    <row r="43" spans="2:15" ht="15" thickBot="1" x14ac:dyDescent="0.35"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</row>
    <row r="44" spans="2:15" ht="15" thickTop="1" x14ac:dyDescent="0.3"/>
  </sheetData>
  <mergeCells count="9">
    <mergeCell ref="D13:O13"/>
    <mergeCell ref="C7:O7"/>
    <mergeCell ref="D9:O9"/>
    <mergeCell ref="D10:O10"/>
    <mergeCell ref="D11:E11"/>
    <mergeCell ref="F11:G11"/>
    <mergeCell ref="H11:J11"/>
    <mergeCell ref="K11:L11"/>
    <mergeCell ref="M11:O11"/>
  </mergeCells>
  <pageMargins left="0.7" right="0.7" top="0.75" bottom="0.75" header="0.3" footer="0.3"/>
  <pageSetup scale="3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 de Costos</vt:lpstr>
      <vt:lpstr>Plantilla Curva S</vt:lpstr>
      <vt:lpstr>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RICARDO BAEZ BALLARDO</cp:lastModifiedBy>
  <cp:lastPrinted>2012-06-13T17:33:48Z</cp:lastPrinted>
  <dcterms:created xsi:type="dcterms:W3CDTF">2012-05-23T17:29:07Z</dcterms:created>
  <dcterms:modified xsi:type="dcterms:W3CDTF">2026-05-19T17:17:16Z</dcterms:modified>
</cp:coreProperties>
</file>