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csa\OneDrive\Escritorio\SPRINT 4\"/>
    </mc:Choice>
  </mc:AlternateContent>
  <xr:revisionPtr revIDLastSave="0" documentId="13_ncr:1_{2608C64E-F41A-4E7B-B502-F080D09B8ED9}" xr6:coauthVersionLast="47" xr6:coauthVersionMax="47" xr10:uidLastSave="{00000000-0000-0000-0000-000000000000}"/>
  <bookViews>
    <workbookView xWindow="-120" yWindow="-120" windowWidth="20730" windowHeight="11040" tabRatio="780" activeTab="1" xr2:uid="{00000000-000D-0000-FFFF-FFFF00000000}"/>
  </bookViews>
  <sheets>
    <sheet name="Detalle de Costos" sheetId="11" r:id="rId1"/>
    <sheet name="Plantilla Curva 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5" i="4" l="1"/>
  <c r="L16" i="4" s="1"/>
  <c r="H18" i="4"/>
  <c r="I18" i="4" s="1"/>
  <c r="J18" i="4" s="1"/>
  <c r="K18" i="4" s="1"/>
  <c r="J57" i="11"/>
  <c r="I57" i="11"/>
  <c r="H57" i="11"/>
  <c r="AE57" i="11"/>
  <c r="AD57" i="11"/>
  <c r="G57" i="11"/>
  <c r="E15" i="4"/>
  <c r="F15" i="4"/>
  <c r="G15" i="4"/>
  <c r="H15" i="4"/>
  <c r="I15" i="4"/>
  <c r="AD9" i="11" s="1"/>
  <c r="J15" i="4"/>
  <c r="AE9" i="11" s="1"/>
  <c r="K15" i="4"/>
  <c r="AF9" i="11" s="1"/>
  <c r="M15" i="4"/>
  <c r="AH9" i="11" s="1"/>
  <c r="N15" i="4"/>
  <c r="O15" i="4"/>
  <c r="D15" i="4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F57" i="11"/>
  <c r="AG57" i="11"/>
  <c r="AH57" i="11"/>
  <c r="AI57" i="11"/>
  <c r="AJ57" i="11"/>
  <c r="AK57" i="11"/>
  <c r="AL57" i="11"/>
  <c r="AM57" i="11"/>
  <c r="AN57" i="11"/>
  <c r="AO57" i="11"/>
  <c r="AP57" i="11"/>
  <c r="AQ57" i="11"/>
  <c r="AR57" i="11"/>
  <c r="AS57" i="11"/>
  <c r="AT57" i="11"/>
  <c r="AU57" i="11"/>
  <c r="AV57" i="11"/>
  <c r="AW57" i="11"/>
  <c r="AX57" i="11"/>
  <c r="AY57" i="11"/>
  <c r="AZ57" i="11"/>
  <c r="BA57" i="11"/>
  <c r="BB57" i="11"/>
  <c r="BC57" i="11"/>
  <c r="BD57" i="11"/>
  <c r="BE57" i="11"/>
  <c r="BF57" i="11"/>
  <c r="BG57" i="11"/>
  <c r="BH57" i="11"/>
  <c r="BI57" i="11"/>
  <c r="BJ57" i="11"/>
  <c r="AG9" i="11" l="1"/>
  <c r="E57" i="11"/>
  <c r="F17" i="4" s="1"/>
  <c r="H17" i="4"/>
  <c r="D57" i="11"/>
  <c r="F57" i="11"/>
  <c r="O57" i="11"/>
  <c r="K57" i="11" l="1"/>
  <c r="N57" i="11"/>
  <c r="M57" i="11"/>
  <c r="L57" i="11"/>
  <c r="I17" i="4"/>
  <c r="E17" i="4"/>
  <c r="G17" i="4"/>
  <c r="D16" i="4"/>
  <c r="O17" i="4" l="1"/>
  <c r="N17" i="4"/>
  <c r="M17" i="4"/>
  <c r="L17" i="4"/>
  <c r="K17" i="4"/>
  <c r="J17" i="4"/>
  <c r="E16" i="4"/>
  <c r="F16" i="4" s="1"/>
  <c r="G16" i="4" l="1"/>
  <c r="H16" i="4" s="1"/>
  <c r="I16" i="4" s="1"/>
  <c r="J16" i="4" s="1"/>
  <c r="K16" i="4" s="1"/>
  <c r="M16" i="4" s="1"/>
  <c r="N16" i="4" s="1"/>
  <c r="O16" i="4" s="1"/>
  <c r="C57" i="11" l="1"/>
  <c r="D17" i="4" s="1"/>
  <c r="D18" i="4" s="1"/>
  <c r="E18" i="4" s="1"/>
  <c r="F18" i="4" s="1"/>
  <c r="G18" i="4" s="1"/>
</calcChain>
</file>

<file path=xl/sharedStrings.xml><?xml version="1.0" encoding="utf-8"?>
<sst xmlns="http://schemas.openxmlformats.org/spreadsheetml/2006/main" count="105" uniqueCount="94">
  <si>
    <t>Valor Planificado</t>
  </si>
  <si>
    <t>Costo Real</t>
  </si>
  <si>
    <t>Proyecto:</t>
  </si>
  <si>
    <t>ID:</t>
  </si>
  <si>
    <t>Fecha de Corte:</t>
  </si>
  <si>
    <t>Fecha de Inicio</t>
  </si>
  <si>
    <t>Fecha Fin:</t>
  </si>
  <si>
    <t>Valor Planificado Acumulado</t>
  </si>
  <si>
    <t>Costo Real Acumulado</t>
  </si>
  <si>
    <t>Curva S de Recursos</t>
  </si>
  <si>
    <t>Nombre del Proyecto</t>
  </si>
  <si>
    <t>Fecha estimada de fin del proyecto.</t>
  </si>
  <si>
    <t>Fecha a la cual se reporta el costo real.</t>
  </si>
  <si>
    <t>1.1.1.1</t>
  </si>
  <si>
    <t>2.1.1.1</t>
  </si>
  <si>
    <t>Código</t>
  </si>
  <si>
    <t>Costos por paquete de trabajo</t>
  </si>
  <si>
    <t>Paquete de Trabajo</t>
  </si>
  <si>
    <t>1.1.1.2</t>
  </si>
  <si>
    <t>1.1.1.3</t>
  </si>
  <si>
    <t>Componente 1</t>
  </si>
  <si>
    <t>Componente 2</t>
  </si>
  <si>
    <t>2.1.1.2</t>
  </si>
  <si>
    <t>2.1.1.3</t>
  </si>
  <si>
    <t>2.1.2.1</t>
  </si>
  <si>
    <t>Componente 3</t>
  </si>
  <si>
    <t>TOTAL</t>
  </si>
  <si>
    <t>Trimestre</t>
  </si>
  <si>
    <t>Revision de variables</t>
  </si>
  <si>
    <t>Validacion de formatos y consistencia</t>
  </si>
  <si>
    <t>Documentacion tecnica del dataset</t>
  </si>
  <si>
    <t>Calculo de ingresos acumulados</t>
  </si>
  <si>
    <t>Componente 4</t>
  </si>
  <si>
    <t>Componente 5</t>
  </si>
  <si>
    <t>2.1.1.4</t>
  </si>
  <si>
    <t>2.1.1.5</t>
  </si>
  <si>
    <t>Estrategia de inversion en marketing</t>
  </si>
  <si>
    <t>Recomendaciones de pricing</t>
  </si>
  <si>
    <t>Evaluacion impacto financiero</t>
  </si>
  <si>
    <t>Analisis de riesgos</t>
  </si>
  <si>
    <t>Plan de descontinuacion</t>
  </si>
  <si>
    <t>Semana</t>
  </si>
  <si>
    <t>Analisis de Portafolio de Productos</t>
  </si>
  <si>
    <t>APP-EST-015</t>
  </si>
  <si>
    <t>1.1.1.4</t>
  </si>
  <si>
    <t>1.1.1.5</t>
  </si>
  <si>
    <t>1.1.1.6</t>
  </si>
  <si>
    <t>Limpieza y validacion del datatest</t>
  </si>
  <si>
    <t>Licencia de Ghat GPT Pro</t>
  </si>
  <si>
    <t>Consultoria de estadistica externa</t>
  </si>
  <si>
    <t>2.1..2.2</t>
  </si>
  <si>
    <t>Licencia de Chat GTP Pro</t>
  </si>
  <si>
    <t>2.1.2.3</t>
  </si>
  <si>
    <t>2.1.3.1</t>
  </si>
  <si>
    <t>2.1.3.2</t>
  </si>
  <si>
    <t>Consultoria Externa</t>
  </si>
  <si>
    <t>Preparacion de datos para forecasting</t>
  </si>
  <si>
    <t>Desarrollo del modelo predictivo</t>
  </si>
  <si>
    <t>Pruebas de modelo</t>
  </si>
  <si>
    <t>Computacion/ procesamiento</t>
  </si>
  <si>
    <t>Visualizacion de predicciones</t>
  </si>
  <si>
    <t>Analisis de resultados</t>
  </si>
  <si>
    <t xml:space="preserve">Documentacion tecnica </t>
  </si>
  <si>
    <t>Integracion del analisis del portafolio</t>
  </si>
  <si>
    <t>2.1.3.3</t>
  </si>
  <si>
    <t>2.1.4.1</t>
  </si>
  <si>
    <t>2.1.4.2</t>
  </si>
  <si>
    <t>Insumos</t>
  </si>
  <si>
    <t>2.1.2.2</t>
  </si>
  <si>
    <t>2.2.3.1</t>
  </si>
  <si>
    <t>2.2.3.2</t>
  </si>
  <si>
    <t>2.2.3.3</t>
  </si>
  <si>
    <t>Configuracion inicial del repositorio en Github</t>
  </si>
  <si>
    <t>Organización de carpetas y estructura del proyecto</t>
  </si>
  <si>
    <t>Carga inicial del codigo del analisis</t>
  </si>
  <si>
    <t>Revision de archivos , pruebas y correcciones</t>
  </si>
  <si>
    <t>Documentacion basica en README</t>
  </si>
  <si>
    <t>Limpieza y preparacion de datos de ventas</t>
  </si>
  <si>
    <t>Calculo de participacion por producto</t>
  </si>
  <si>
    <t>Validacion de resultados</t>
  </si>
  <si>
    <t>2.2.3.4</t>
  </si>
  <si>
    <t>2.2.3..5</t>
  </si>
  <si>
    <t>Clasificacion de productos A, B y C</t>
  </si>
  <si>
    <t>Revision y reporte preliminar</t>
  </si>
  <si>
    <t>Analisis del crecimiento del producto</t>
  </si>
  <si>
    <t>Calculo de la tasa de crecimiento</t>
  </si>
  <si>
    <t>Comparacion contra productos principales</t>
  </si>
  <si>
    <t>Revision de formulas y consistencia</t>
  </si>
  <si>
    <t>Interpretacion inicial de resultados</t>
  </si>
  <si>
    <t>Clasificacion en estrella, vaca, interrogante y perro</t>
  </si>
  <si>
    <t>Elaboracion de matriz BCG</t>
  </si>
  <si>
    <t>Interpretacion de resultados por producto</t>
  </si>
  <si>
    <t>Integracion del reporte final</t>
  </si>
  <si>
    <t>Preparacion de graficos y conclusiones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</si>
</sst>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.00_);_(* \(#,##0.00\);_(* &quot;-&quot;??_);_(@_)"/>
    <numFmt numFmtId="166" formatCode="_-* #,##0.0000_-;\-* #,##0.00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orbel"/>
      <family val="2"/>
    </font>
    <font>
      <b/>
      <sz val="16"/>
      <color theme="1"/>
      <name val="Corbel"/>
      <family val="2"/>
    </font>
    <font>
      <b/>
      <sz val="12"/>
      <color theme="0"/>
      <name val="Corbel"/>
      <family val="2"/>
    </font>
    <font>
      <sz val="11"/>
      <color theme="0"/>
      <name val="Corbel"/>
      <family val="2"/>
    </font>
    <font>
      <b/>
      <sz val="11"/>
      <color theme="0"/>
      <name val="Corbel"/>
      <family val="2"/>
    </font>
    <font>
      <b/>
      <sz val="10"/>
      <color theme="0"/>
      <name val="Corbel"/>
      <family val="2"/>
    </font>
    <font>
      <sz val="10"/>
      <color theme="1"/>
      <name val="Corbel"/>
      <family val="2"/>
    </font>
    <font>
      <sz val="8"/>
      <name val="Calibri"/>
      <family val="2"/>
      <scheme val="minor"/>
    </font>
    <font>
      <b/>
      <sz val="11"/>
      <color theme="1"/>
      <name val="Corbel"/>
      <family val="2"/>
    </font>
    <font>
      <b/>
      <sz val="10"/>
      <color rgb="FFFF0000"/>
      <name val="Corbe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0">
    <xf numFmtId="0" fontId="0" fillId="0" borderId="0" xfId="0"/>
    <xf numFmtId="44" fontId="0" fillId="0" borderId="1" xfId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9" fontId="0" fillId="0" borderId="0" xfId="2" applyFont="1" applyBorder="1" applyAlignment="1">
      <alignment vertical="center"/>
    </xf>
    <xf numFmtId="0" fontId="0" fillId="0" borderId="9" xfId="0" applyBorder="1" applyAlignment="1">
      <alignment horizontal="left"/>
    </xf>
    <xf numFmtId="44" fontId="0" fillId="0" borderId="1" xfId="1" applyFont="1" applyBorder="1" applyAlignment="1"/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2" fillId="3" borderId="1" xfId="0" applyFont="1" applyFill="1" applyBorder="1" applyAlignment="1">
      <alignment horizontal="right"/>
    </xf>
    <xf numFmtId="0" fontId="0" fillId="3" borderId="1" xfId="0" applyFill="1" applyBorder="1"/>
    <xf numFmtId="0" fontId="2" fillId="3" borderId="1" xfId="0" applyFont="1" applyFill="1" applyBorder="1" applyAlignment="1">
      <alignment horizontal="center"/>
    </xf>
    <xf numFmtId="0" fontId="0" fillId="4" borderId="0" xfId="0" applyFill="1"/>
    <xf numFmtId="0" fontId="4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14" fontId="7" fillId="5" borderId="0" xfId="0" applyNumberFormat="1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top"/>
      <protection locked="0"/>
    </xf>
    <xf numFmtId="0" fontId="10" fillId="0" borderId="16" xfId="0" applyFont="1" applyBorder="1" applyAlignment="1" applyProtection="1">
      <alignment horizontal="left" vertical="center"/>
      <protection locked="0"/>
    </xf>
    <xf numFmtId="0" fontId="10" fillId="0" borderId="16" xfId="0" applyFont="1" applyBorder="1" applyAlignment="1" applyProtection="1">
      <alignment vertical="top"/>
      <protection locked="0"/>
    </xf>
    <xf numFmtId="0" fontId="8" fillId="5" borderId="15" xfId="0" applyFont="1" applyFill="1" applyBorder="1" applyAlignment="1" applyProtection="1">
      <alignment horizontal="center" vertical="top"/>
      <protection locked="0"/>
    </xf>
    <xf numFmtId="164" fontId="9" fillId="5" borderId="16" xfId="3" applyFont="1" applyFill="1" applyBorder="1" applyAlignment="1" applyProtection="1">
      <alignment vertical="top"/>
      <protection locked="0"/>
    </xf>
    <xf numFmtId="0" fontId="9" fillId="5" borderId="16" xfId="3" applyNumberFormat="1" applyFont="1" applyFill="1" applyBorder="1" applyAlignment="1" applyProtection="1">
      <alignment horizontal="center" vertical="top"/>
      <protection locked="0"/>
    </xf>
    <xf numFmtId="0" fontId="12" fillId="6" borderId="0" xfId="0" applyFont="1" applyFill="1" applyAlignment="1" applyProtection="1">
      <alignment horizontal="center"/>
      <protection locked="0"/>
    </xf>
    <xf numFmtId="164" fontId="4" fillId="6" borderId="1" xfId="3" applyFont="1" applyFill="1" applyBorder="1" applyProtection="1">
      <protection locked="0"/>
    </xf>
    <xf numFmtId="164" fontId="10" fillId="0" borderId="16" xfId="3" applyFont="1" applyBorder="1" applyAlignment="1" applyProtection="1">
      <alignment vertical="top"/>
      <protection locked="0"/>
    </xf>
    <xf numFmtId="164" fontId="4" fillId="4" borderId="0" xfId="0" applyNumberFormat="1" applyFont="1" applyFill="1" applyProtection="1">
      <protection locked="0"/>
    </xf>
    <xf numFmtId="164" fontId="10" fillId="3" borderId="16" xfId="3" applyFont="1" applyFill="1" applyBorder="1" applyAlignment="1" applyProtection="1">
      <alignment vertical="top"/>
      <protection locked="0"/>
    </xf>
    <xf numFmtId="44" fontId="13" fillId="5" borderId="16" xfId="1" applyFont="1" applyFill="1" applyBorder="1" applyAlignment="1" applyProtection="1">
      <alignment horizontal="center" vertical="top"/>
      <protection locked="0"/>
    </xf>
    <xf numFmtId="43" fontId="4" fillId="4" borderId="0" xfId="0" applyNumberFormat="1" applyFont="1" applyFill="1" applyProtection="1">
      <protection locked="0"/>
    </xf>
    <xf numFmtId="44" fontId="10" fillId="0" borderId="16" xfId="1" applyFont="1" applyBorder="1" applyAlignment="1" applyProtection="1">
      <alignment horizontal="center" vertical="top"/>
      <protection locked="0"/>
    </xf>
    <xf numFmtId="44" fontId="10" fillId="0" borderId="16" xfId="1" applyFont="1" applyBorder="1" applyAlignment="1" applyProtection="1">
      <alignment horizontal="center" vertical="top" wrapText="1"/>
      <protection locked="0"/>
    </xf>
    <xf numFmtId="44" fontId="10" fillId="0" borderId="16" xfId="1" applyFont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horizontal="right" vertical="top"/>
      <protection locked="0"/>
    </xf>
    <xf numFmtId="44" fontId="4" fillId="6" borderId="1" xfId="1" applyFont="1" applyFill="1" applyBorder="1" applyProtection="1">
      <protection locked="0"/>
    </xf>
    <xf numFmtId="166" fontId="4" fillId="4" borderId="0" xfId="0" applyNumberFormat="1" applyFont="1" applyFill="1" applyProtection="1">
      <protection locked="0"/>
    </xf>
    <xf numFmtId="44" fontId="4" fillId="4" borderId="0" xfId="0" applyNumberFormat="1" applyFont="1" applyFill="1" applyProtection="1">
      <protection locked="0"/>
    </xf>
    <xf numFmtId="0" fontId="10" fillId="0" borderId="17" xfId="0" applyFont="1" applyBorder="1" applyAlignment="1" applyProtection="1">
      <alignment horizontal="left" vertical="center"/>
      <protection locked="0"/>
    </xf>
    <xf numFmtId="0" fontId="10" fillId="0" borderId="18" xfId="0" applyFont="1" applyBorder="1" applyAlignment="1" applyProtection="1">
      <alignment vertical="top"/>
      <protection locked="0"/>
    </xf>
    <xf numFmtId="44" fontId="13" fillId="5" borderId="16" xfId="3" applyNumberFormat="1" applyFont="1" applyFill="1" applyBorder="1" applyAlignment="1" applyProtection="1">
      <alignment horizontal="center" vertical="top"/>
      <protection locked="0"/>
    </xf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0" fillId="0" borderId="4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9" fillId="5" borderId="17" xfId="0" applyFont="1" applyFill="1" applyBorder="1" applyAlignment="1" applyProtection="1">
      <alignment horizontal="center" vertical="center"/>
      <protection locked="0"/>
    </xf>
    <xf numFmtId="0" fontId="9" fillId="5" borderId="18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Alignment="1" applyProtection="1">
      <alignment horizontal="center" vertical="center"/>
      <protection locked="0"/>
    </xf>
    <xf numFmtId="0" fontId="9" fillId="5" borderId="17" xfId="0" applyFont="1" applyFill="1" applyBorder="1" applyAlignment="1" applyProtection="1">
      <alignment horizontal="right" vertical="center"/>
      <protection locked="0"/>
    </xf>
    <xf numFmtId="0" fontId="9" fillId="5" borderId="18" xfId="0" applyFont="1" applyFill="1" applyBorder="1" applyAlignment="1" applyProtection="1">
      <alignment horizontal="right" vertical="center"/>
      <protection locked="0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37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'Plantilla Curva S'!$C$16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numRef>
              <c:f>'Plantilla 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S'!$D$16:$O$16</c:f>
              <c:numCache>
                <c:formatCode>_("$"* #,##0.00_);_("$"* \(#,##0.00\);_("$"* "-"??_);_(@_)</c:formatCode>
                <c:ptCount val="12"/>
                <c:pt idx="0">
                  <c:v>14000</c:v>
                </c:pt>
                <c:pt idx="1">
                  <c:v>30000</c:v>
                </c:pt>
                <c:pt idx="2">
                  <c:v>50000</c:v>
                </c:pt>
                <c:pt idx="3">
                  <c:v>75000</c:v>
                </c:pt>
                <c:pt idx="4">
                  <c:v>102000</c:v>
                </c:pt>
                <c:pt idx="5">
                  <c:v>135000</c:v>
                </c:pt>
                <c:pt idx="6">
                  <c:v>171000</c:v>
                </c:pt>
                <c:pt idx="7">
                  <c:v>210000</c:v>
                </c:pt>
                <c:pt idx="8">
                  <c:v>245000</c:v>
                </c:pt>
                <c:pt idx="9">
                  <c:v>270000</c:v>
                </c:pt>
                <c:pt idx="10">
                  <c:v>287000</c:v>
                </c:pt>
                <c:pt idx="11">
                  <c:v>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E-4092-A810-F1B32C16C439}"/>
            </c:ext>
          </c:extLst>
        </c:ser>
        <c:ser>
          <c:idx val="3"/>
          <c:order val="1"/>
          <c:tx>
            <c:strRef>
              <c:f>'Plantilla Curva S'!$C$18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numRef>
              <c:f>'Plantilla 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S'!$D$18:$O$18</c:f>
              <c:numCache>
                <c:formatCode>_("$"* #,##0.00_);_("$"* \(#,##0.00\);_("$"* "-"??_);_(@_)</c:formatCode>
                <c:ptCount val="12"/>
                <c:pt idx="0">
                  <c:v>13600</c:v>
                </c:pt>
                <c:pt idx="1">
                  <c:v>28699</c:v>
                </c:pt>
                <c:pt idx="2">
                  <c:v>46694</c:v>
                </c:pt>
                <c:pt idx="3">
                  <c:v>68686</c:v>
                </c:pt>
                <c:pt idx="4">
                  <c:v>95186</c:v>
                </c:pt>
                <c:pt idx="5">
                  <c:v>127586</c:v>
                </c:pt>
                <c:pt idx="6">
                  <c:v>162786</c:v>
                </c:pt>
                <c:pt idx="7">
                  <c:v>200886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E-4092-A810-F1B32C16C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71456"/>
        <c:axId val="193172992"/>
      </c:lineChart>
      <c:catAx>
        <c:axId val="193171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172992"/>
        <c:crosses val="autoZero"/>
        <c:auto val="1"/>
        <c:lblAlgn val="ctr"/>
        <c:lblOffset val="100"/>
        <c:noMultiLvlLbl val="0"/>
      </c:catAx>
      <c:valAx>
        <c:axId val="193172992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93171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388621</xdr:colOff>
      <xdr:row>0</xdr:row>
      <xdr:rowOff>0</xdr:rowOff>
    </xdr:from>
    <xdr:to>
      <xdr:col>1</xdr:col>
      <xdr:colOff>723901</xdr:colOff>
      <xdr:row>4</xdr:row>
      <xdr:rowOff>88027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1" y="0"/>
          <a:ext cx="876300" cy="9033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746125</xdr:colOff>
      <xdr:row>18</xdr:row>
      <xdr:rowOff>142875</xdr:rowOff>
    </xdr:from>
    <xdr:to>
      <xdr:col>12</xdr:col>
      <xdr:colOff>206375</xdr:colOff>
      <xdr:row>42</xdr:row>
      <xdr:rowOff>111125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304802</xdr:colOff>
      <xdr:row>1</xdr:row>
      <xdr:rowOff>67734</xdr:rowOff>
    </xdr:from>
    <xdr:to>
      <xdr:col>2</xdr:col>
      <xdr:colOff>1134533</xdr:colOff>
      <xdr:row>5</xdr:row>
      <xdr:rowOff>161013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802" y="262467"/>
          <a:ext cx="829731" cy="8468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F9A9-FCEB-47B1-AE78-CF1A36A7E64B}">
  <dimension ref="A3:BJ62"/>
  <sheetViews>
    <sheetView topLeftCell="A39" zoomScaleNormal="100" workbookViewId="0">
      <pane xSplit="7" topLeftCell="H1" activePane="topRight" state="frozen"/>
      <selection pane="topRight" activeCell="J55" sqref="J55"/>
    </sheetView>
  </sheetViews>
  <sheetFormatPr baseColWidth="10" defaultColWidth="11.42578125" defaultRowHeight="15" x14ac:dyDescent="0.25"/>
  <cols>
    <col min="1" max="1" width="7.7109375" style="23" bestFit="1" customWidth="1"/>
    <col min="2" max="2" width="49" style="24" bestFit="1" customWidth="1"/>
    <col min="3" max="3" width="14.28515625" style="24" customWidth="1"/>
    <col min="4" max="4" width="13.5703125" style="24" customWidth="1"/>
    <col min="5" max="5" width="12.5703125" style="24" customWidth="1"/>
    <col min="6" max="6" width="12.7109375" style="24" customWidth="1"/>
    <col min="7" max="7" width="11.7109375" style="24" customWidth="1"/>
    <col min="8" max="8" width="12.140625" style="24" customWidth="1"/>
    <col min="9" max="9" width="12.28515625" style="24" customWidth="1"/>
    <col min="10" max="10" width="12.85546875" style="24" customWidth="1"/>
    <col min="11" max="11" width="12.28515625" style="24" customWidth="1"/>
    <col min="12" max="12" width="13" style="24" customWidth="1"/>
    <col min="13" max="13" width="12.7109375" style="24" customWidth="1"/>
    <col min="14" max="14" width="12" style="24" customWidth="1"/>
    <col min="15" max="29" width="10.42578125" style="24" customWidth="1"/>
    <col min="30" max="30" width="13" style="24" customWidth="1"/>
    <col min="31" max="31" width="12" style="24" customWidth="1"/>
    <col min="32" max="32" width="12.28515625" style="24" customWidth="1"/>
    <col min="33" max="33" width="13.140625" style="24" customWidth="1"/>
    <col min="34" max="34" width="12.28515625" style="24" customWidth="1"/>
    <col min="35" max="62" width="10.42578125" style="24" customWidth="1"/>
    <col min="63" max="16384" width="11.42578125" style="24"/>
  </cols>
  <sheetData>
    <row r="3" spans="1:62" ht="21" x14ac:dyDescent="0.35">
      <c r="D3" s="25" t="s">
        <v>16</v>
      </c>
    </row>
    <row r="6" spans="1:62" ht="15.75" x14ac:dyDescent="0.25">
      <c r="A6" s="67" t="s">
        <v>10</v>
      </c>
      <c r="B6" s="67"/>
      <c r="C6" s="67"/>
      <c r="D6" s="67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</row>
    <row r="7" spans="1:62" x14ac:dyDescent="0.25">
      <c r="A7" s="30" t="s">
        <v>15</v>
      </c>
      <c r="B7" s="30" t="s">
        <v>17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</row>
    <row r="8" spans="1:62" x14ac:dyDescent="0.25">
      <c r="A8" s="68" t="s">
        <v>41</v>
      </c>
      <c r="B8" s="69"/>
      <c r="C8" s="32">
        <v>1</v>
      </c>
      <c r="D8" s="32">
        <v>2</v>
      </c>
      <c r="E8" s="32">
        <v>3</v>
      </c>
      <c r="F8" s="32">
        <v>4</v>
      </c>
      <c r="G8" s="32">
        <v>5</v>
      </c>
      <c r="H8" s="32">
        <v>6</v>
      </c>
      <c r="I8" s="32">
        <v>7</v>
      </c>
      <c r="J8" s="32">
        <v>8</v>
      </c>
      <c r="K8" s="32">
        <v>9</v>
      </c>
      <c r="L8" s="32">
        <v>10</v>
      </c>
      <c r="M8" s="32">
        <v>11</v>
      </c>
      <c r="N8" s="32">
        <v>12</v>
      </c>
      <c r="O8" s="32">
        <v>13</v>
      </c>
      <c r="P8" s="32">
        <v>14</v>
      </c>
      <c r="Q8" s="32">
        <v>15</v>
      </c>
      <c r="R8" s="32">
        <v>16</v>
      </c>
      <c r="S8" s="32">
        <v>17</v>
      </c>
      <c r="T8" s="32">
        <v>18</v>
      </c>
      <c r="U8" s="32">
        <v>19</v>
      </c>
      <c r="V8" s="32">
        <v>20</v>
      </c>
      <c r="W8" s="32">
        <v>21</v>
      </c>
      <c r="X8" s="32">
        <v>22</v>
      </c>
      <c r="Y8" s="32">
        <v>23</v>
      </c>
      <c r="Z8" s="32">
        <v>24</v>
      </c>
      <c r="AA8" s="32">
        <v>25</v>
      </c>
      <c r="AB8" s="32">
        <v>26</v>
      </c>
      <c r="AC8" s="32">
        <v>27</v>
      </c>
      <c r="AD8" s="32">
        <v>6</v>
      </c>
      <c r="AE8" s="32">
        <v>7</v>
      </c>
      <c r="AF8" s="32">
        <v>8</v>
      </c>
      <c r="AG8" s="32">
        <v>9</v>
      </c>
      <c r="AH8" s="32">
        <v>10</v>
      </c>
      <c r="AI8" s="32">
        <v>33</v>
      </c>
      <c r="AJ8" s="32">
        <v>34</v>
      </c>
      <c r="AK8" s="32">
        <v>35</v>
      </c>
      <c r="AL8" s="32">
        <v>36</v>
      </c>
      <c r="AM8" s="32">
        <v>37</v>
      </c>
      <c r="AN8" s="32">
        <v>38</v>
      </c>
      <c r="AO8" s="32">
        <v>39</v>
      </c>
      <c r="AP8" s="32">
        <v>40</v>
      </c>
      <c r="AQ8" s="32">
        <v>41</v>
      </c>
      <c r="AR8" s="32">
        <v>42</v>
      </c>
      <c r="AS8" s="32">
        <v>43</v>
      </c>
      <c r="AT8" s="32">
        <v>44</v>
      </c>
      <c r="AU8" s="32">
        <v>45</v>
      </c>
      <c r="AV8" s="32">
        <v>46</v>
      </c>
      <c r="AW8" s="32">
        <v>47</v>
      </c>
      <c r="AX8" s="32">
        <v>48</v>
      </c>
      <c r="AY8" s="32">
        <v>49</v>
      </c>
      <c r="AZ8" s="32">
        <v>50</v>
      </c>
      <c r="BA8" s="32">
        <v>51</v>
      </c>
      <c r="BB8" s="32">
        <v>52</v>
      </c>
      <c r="BC8" s="32">
        <v>53</v>
      </c>
      <c r="BD8" s="32">
        <v>54</v>
      </c>
      <c r="BE8" s="32">
        <v>55</v>
      </c>
      <c r="BF8" s="32">
        <v>56</v>
      </c>
      <c r="BG8" s="32">
        <v>57</v>
      </c>
      <c r="BH8" s="32">
        <v>58</v>
      </c>
      <c r="BI8" s="32">
        <v>59</v>
      </c>
      <c r="BJ8" s="32">
        <v>60</v>
      </c>
    </row>
    <row r="9" spans="1:62" x14ac:dyDescent="0.25">
      <c r="A9" s="65" t="s">
        <v>20</v>
      </c>
      <c r="B9" s="66"/>
      <c r="C9" s="38">
        <v>14000</v>
      </c>
      <c r="D9" s="38">
        <v>16000</v>
      </c>
      <c r="E9" s="38">
        <v>20000</v>
      </c>
      <c r="F9" s="38">
        <v>25000</v>
      </c>
      <c r="G9" s="38">
        <v>27000</v>
      </c>
      <c r="H9" s="38">
        <v>33000</v>
      </c>
      <c r="I9" s="38">
        <v>36000</v>
      </c>
      <c r="J9" s="38">
        <v>39000</v>
      </c>
      <c r="K9" s="38">
        <v>35000</v>
      </c>
      <c r="L9" s="38">
        <v>25000</v>
      </c>
      <c r="M9" s="38">
        <v>17000</v>
      </c>
      <c r="N9" s="38">
        <v>13000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50">
        <f>'Plantilla Curva S'!I15</f>
        <v>33000</v>
      </c>
      <c r="AE9" s="50">
        <f>'Plantilla Curva S'!J15</f>
        <v>36000</v>
      </c>
      <c r="AF9" s="50">
        <f>'Plantilla Curva S'!K15</f>
        <v>39000</v>
      </c>
      <c r="AG9" s="50">
        <f>'Plantilla Curva S'!L15</f>
        <v>35000</v>
      </c>
      <c r="AH9" s="50">
        <f>'Plantilla Curva S'!M15</f>
        <v>25000</v>
      </c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</row>
    <row r="10" spans="1:62" x14ac:dyDescent="0.25">
      <c r="A10" s="28" t="s">
        <v>13</v>
      </c>
      <c r="B10" s="29" t="s">
        <v>28</v>
      </c>
      <c r="C10" s="40">
        <v>2000</v>
      </c>
      <c r="D10" s="41">
        <v>2500</v>
      </c>
      <c r="E10" s="40"/>
      <c r="F10" s="42"/>
      <c r="G10" s="42"/>
      <c r="H10" s="42"/>
      <c r="I10" s="42"/>
      <c r="J10" s="42"/>
      <c r="K10" s="42"/>
      <c r="L10" s="42"/>
      <c r="M10" s="42"/>
      <c r="N10" s="42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</row>
    <row r="11" spans="1:62" x14ac:dyDescent="0.25">
      <c r="A11" s="28" t="s">
        <v>18</v>
      </c>
      <c r="B11" s="29" t="s">
        <v>29</v>
      </c>
      <c r="C11" s="40">
        <v>3500</v>
      </c>
      <c r="D11" s="40">
        <v>4000</v>
      </c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</row>
    <row r="12" spans="1:62" x14ac:dyDescent="0.25">
      <c r="A12" s="28" t="s">
        <v>19</v>
      </c>
      <c r="B12" s="29" t="s">
        <v>30</v>
      </c>
      <c r="C12" s="40">
        <v>4000</v>
      </c>
      <c r="D12" s="40">
        <v>4499</v>
      </c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</row>
    <row r="13" spans="1:62" x14ac:dyDescent="0.25">
      <c r="A13" s="48" t="s">
        <v>44</v>
      </c>
      <c r="B13" s="49" t="s">
        <v>47</v>
      </c>
      <c r="C13" s="40">
        <v>3000</v>
      </c>
      <c r="D13" s="40">
        <v>3000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</row>
    <row r="14" spans="1:62" x14ac:dyDescent="0.25">
      <c r="A14" s="48" t="s">
        <v>45</v>
      </c>
      <c r="B14" s="49" t="s">
        <v>48</v>
      </c>
      <c r="C14" s="40">
        <v>100</v>
      </c>
      <c r="D14" s="40">
        <v>100</v>
      </c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</row>
    <row r="15" spans="1:62" x14ac:dyDescent="0.25">
      <c r="A15" s="48" t="s">
        <v>46</v>
      </c>
      <c r="B15" s="49" t="s">
        <v>49</v>
      </c>
      <c r="C15" s="40">
        <v>1000</v>
      </c>
      <c r="D15" s="40">
        <v>1000</v>
      </c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</row>
    <row r="16" spans="1:62" x14ac:dyDescent="0.25">
      <c r="A16" s="65" t="s">
        <v>21</v>
      </c>
      <c r="B16" s="66"/>
      <c r="C16" s="43"/>
      <c r="D16" s="44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37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</row>
    <row r="17" spans="1:62" x14ac:dyDescent="0.25">
      <c r="A17" s="28" t="s">
        <v>14</v>
      </c>
      <c r="B17" s="29" t="s">
        <v>31</v>
      </c>
      <c r="C17" s="40"/>
      <c r="D17" s="40"/>
      <c r="E17" s="40">
        <v>1699</v>
      </c>
      <c r="F17" s="40">
        <v>2199</v>
      </c>
      <c r="G17" s="40"/>
      <c r="H17" s="40"/>
      <c r="I17" s="40"/>
      <c r="J17" s="40"/>
      <c r="K17" s="40"/>
      <c r="L17" s="40"/>
      <c r="M17" s="40"/>
      <c r="N17" s="40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</row>
    <row r="18" spans="1:62" x14ac:dyDescent="0.25">
      <c r="A18" s="28" t="s">
        <v>22</v>
      </c>
      <c r="B18" s="29" t="s">
        <v>56</v>
      </c>
      <c r="C18" s="40"/>
      <c r="D18" s="40"/>
      <c r="E18" s="40">
        <v>2000</v>
      </c>
      <c r="F18" s="40">
        <v>2499</v>
      </c>
      <c r="G18" s="40"/>
      <c r="H18" s="40"/>
      <c r="I18" s="40"/>
      <c r="J18" s="40"/>
      <c r="K18" s="40"/>
      <c r="L18" s="40"/>
      <c r="M18" s="40"/>
      <c r="N18" s="40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</row>
    <row r="19" spans="1:62" x14ac:dyDescent="0.25">
      <c r="A19" s="28" t="s">
        <v>23</v>
      </c>
      <c r="B19" s="29" t="s">
        <v>57</v>
      </c>
      <c r="C19" s="40"/>
      <c r="D19" s="40"/>
      <c r="E19" s="40">
        <v>2500</v>
      </c>
      <c r="F19" s="40">
        <v>3499</v>
      </c>
      <c r="G19" s="40"/>
      <c r="H19" s="40"/>
      <c r="I19" s="40"/>
      <c r="J19" s="40"/>
      <c r="K19" s="40"/>
      <c r="L19" s="40"/>
      <c r="M19" s="40"/>
      <c r="N19" s="40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</row>
    <row r="20" spans="1:62" x14ac:dyDescent="0.25">
      <c r="A20" s="28" t="s">
        <v>24</v>
      </c>
      <c r="B20" s="29" t="s">
        <v>58</v>
      </c>
      <c r="C20" s="40"/>
      <c r="D20" s="40"/>
      <c r="E20" s="40">
        <v>1499</v>
      </c>
      <c r="F20" s="40">
        <v>1999</v>
      </c>
      <c r="G20" s="40"/>
      <c r="H20" s="40"/>
      <c r="I20" s="40"/>
      <c r="J20" s="40"/>
      <c r="K20" s="40"/>
      <c r="L20" s="40"/>
      <c r="M20" s="40"/>
      <c r="N20" s="40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</row>
    <row r="21" spans="1:62" x14ac:dyDescent="0.25">
      <c r="A21" s="48" t="s">
        <v>50</v>
      </c>
      <c r="B21" s="49" t="s">
        <v>51</v>
      </c>
      <c r="C21" s="40"/>
      <c r="D21" s="40"/>
      <c r="E21" s="40">
        <v>100</v>
      </c>
      <c r="F21" s="40">
        <v>100</v>
      </c>
      <c r="G21" s="40"/>
      <c r="H21" s="40"/>
      <c r="I21" s="40"/>
      <c r="J21" s="40"/>
      <c r="K21" s="40"/>
      <c r="L21" s="40"/>
      <c r="M21" s="40"/>
      <c r="N21" s="40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</row>
    <row r="22" spans="1:62" x14ac:dyDescent="0.25">
      <c r="A22" s="48" t="s">
        <v>52</v>
      </c>
      <c r="B22" s="49" t="s">
        <v>59</v>
      </c>
      <c r="C22" s="40"/>
      <c r="D22" s="40"/>
      <c r="E22" s="40">
        <v>1500</v>
      </c>
      <c r="F22" s="40">
        <v>1500</v>
      </c>
      <c r="G22" s="40"/>
      <c r="H22" s="40"/>
      <c r="I22" s="40"/>
      <c r="J22" s="40"/>
      <c r="K22" s="40"/>
      <c r="L22" s="40"/>
      <c r="M22" s="40"/>
      <c r="N22" s="40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</row>
    <row r="23" spans="1:62" x14ac:dyDescent="0.25">
      <c r="A23" s="48" t="s">
        <v>53</v>
      </c>
      <c r="B23" s="49" t="s">
        <v>60</v>
      </c>
      <c r="C23" s="40"/>
      <c r="D23" s="40"/>
      <c r="E23" s="40">
        <v>2499</v>
      </c>
      <c r="F23" s="40">
        <v>2499</v>
      </c>
      <c r="G23" s="40"/>
      <c r="H23" s="40"/>
      <c r="I23" s="40"/>
      <c r="J23" s="40"/>
      <c r="K23" s="40"/>
      <c r="L23" s="40"/>
      <c r="M23" s="40"/>
      <c r="N23" s="40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</row>
    <row r="24" spans="1:62" x14ac:dyDescent="0.25">
      <c r="A24" s="48" t="s">
        <v>54</v>
      </c>
      <c r="B24" s="49" t="s">
        <v>61</v>
      </c>
      <c r="C24" s="40"/>
      <c r="D24" s="40"/>
      <c r="E24" s="40">
        <v>1999</v>
      </c>
      <c r="F24" s="40">
        <v>2499</v>
      </c>
      <c r="G24" s="40"/>
      <c r="H24" s="40"/>
      <c r="I24" s="40"/>
      <c r="J24" s="40"/>
      <c r="K24" s="40"/>
      <c r="L24" s="40"/>
      <c r="M24" s="40"/>
      <c r="N24" s="40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</row>
    <row r="25" spans="1:62" x14ac:dyDescent="0.25">
      <c r="A25" s="48" t="s">
        <v>64</v>
      </c>
      <c r="B25" s="49" t="s">
        <v>62</v>
      </c>
      <c r="C25" s="40"/>
      <c r="D25" s="40"/>
      <c r="E25" s="40">
        <v>1000</v>
      </c>
      <c r="F25" s="40">
        <v>1499</v>
      </c>
      <c r="G25" s="40"/>
      <c r="H25" s="40"/>
      <c r="I25" s="40"/>
      <c r="J25" s="40"/>
      <c r="K25" s="40"/>
      <c r="L25" s="40"/>
      <c r="M25" s="40"/>
      <c r="N25" s="40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</row>
    <row r="26" spans="1:62" x14ac:dyDescent="0.25">
      <c r="A26" s="48" t="s">
        <v>65</v>
      </c>
      <c r="B26" s="49" t="s">
        <v>55</v>
      </c>
      <c r="C26" s="40"/>
      <c r="D26" s="40"/>
      <c r="E26" s="40">
        <v>2000</v>
      </c>
      <c r="F26" s="40">
        <v>2500</v>
      </c>
      <c r="G26" s="40"/>
      <c r="H26" s="40"/>
      <c r="I26" s="40"/>
      <c r="J26" s="40"/>
      <c r="K26" s="40"/>
      <c r="L26" s="40"/>
      <c r="M26" s="40"/>
      <c r="N26" s="40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</row>
    <row r="27" spans="1:62" x14ac:dyDescent="0.25">
      <c r="A27" s="48" t="s">
        <v>66</v>
      </c>
      <c r="B27" s="49" t="s">
        <v>63</v>
      </c>
      <c r="C27" s="40"/>
      <c r="D27" s="40"/>
      <c r="E27" s="40">
        <v>1199</v>
      </c>
      <c r="F27" s="40">
        <v>1199</v>
      </c>
      <c r="G27" s="40"/>
      <c r="H27" s="40"/>
      <c r="I27" s="40"/>
      <c r="J27" s="40"/>
      <c r="K27" s="40"/>
      <c r="L27" s="40"/>
      <c r="M27" s="40"/>
      <c r="N27" s="40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</row>
    <row r="28" spans="1:62" x14ac:dyDescent="0.25">
      <c r="A28" s="65" t="s">
        <v>25</v>
      </c>
      <c r="B28" s="66"/>
      <c r="C28" s="43"/>
      <c r="D28" s="44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37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</row>
    <row r="29" spans="1:62" x14ac:dyDescent="0.25">
      <c r="A29" s="28" t="s">
        <v>14</v>
      </c>
      <c r="B29" s="29" t="s">
        <v>72</v>
      </c>
      <c r="C29" s="40"/>
      <c r="D29" s="40"/>
      <c r="E29" s="40"/>
      <c r="F29" s="40"/>
      <c r="G29" s="40">
        <v>6000</v>
      </c>
      <c r="H29" s="40"/>
      <c r="I29" s="40"/>
      <c r="J29" s="40"/>
      <c r="K29" s="40"/>
      <c r="L29" s="40"/>
      <c r="M29" s="40"/>
      <c r="N29" s="40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42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</row>
    <row r="30" spans="1:62" x14ac:dyDescent="0.25">
      <c r="A30" s="28" t="s">
        <v>22</v>
      </c>
      <c r="B30" s="29" t="s">
        <v>73</v>
      </c>
      <c r="C30" s="40"/>
      <c r="D30" s="40"/>
      <c r="E30" s="40"/>
      <c r="F30" s="40"/>
      <c r="G30" s="40">
        <v>4500</v>
      </c>
      <c r="H30" s="40"/>
      <c r="I30" s="40"/>
      <c r="J30" s="40"/>
      <c r="K30" s="40"/>
      <c r="L30" s="40"/>
      <c r="M30" s="40"/>
      <c r="N30" s="40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42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</row>
    <row r="31" spans="1:62" x14ac:dyDescent="0.25">
      <c r="A31" s="28" t="s">
        <v>23</v>
      </c>
      <c r="B31" s="29" t="s">
        <v>74</v>
      </c>
      <c r="C31" s="40"/>
      <c r="D31" s="40"/>
      <c r="E31" s="40"/>
      <c r="F31" s="40"/>
      <c r="G31" s="40">
        <v>7000</v>
      </c>
      <c r="H31" s="40"/>
      <c r="I31" s="40"/>
      <c r="J31" s="40"/>
      <c r="K31" s="40"/>
      <c r="L31" s="40"/>
      <c r="M31" s="40"/>
      <c r="N31" s="40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42">
        <v>5400</v>
      </c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</row>
    <row r="32" spans="1:62" x14ac:dyDescent="0.25">
      <c r="A32" s="48" t="s">
        <v>34</v>
      </c>
      <c r="B32" s="49" t="s">
        <v>75</v>
      </c>
      <c r="C32" s="40"/>
      <c r="D32" s="40"/>
      <c r="E32" s="40"/>
      <c r="F32" s="40"/>
      <c r="G32" s="40">
        <v>6000</v>
      </c>
      <c r="H32" s="40"/>
      <c r="I32" s="40"/>
      <c r="J32" s="40"/>
      <c r="K32" s="40"/>
      <c r="L32" s="40"/>
      <c r="M32" s="40"/>
      <c r="N32" s="40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42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</row>
    <row r="33" spans="1:62" x14ac:dyDescent="0.25">
      <c r="A33" s="48" t="s">
        <v>24</v>
      </c>
      <c r="B33" s="49" t="s">
        <v>76</v>
      </c>
      <c r="C33" s="40"/>
      <c r="D33" s="40"/>
      <c r="E33" s="40"/>
      <c r="F33" s="40"/>
      <c r="G33" s="40">
        <v>2000</v>
      </c>
      <c r="H33" s="40"/>
      <c r="I33" s="40"/>
      <c r="J33" s="40"/>
      <c r="K33" s="40"/>
      <c r="L33" s="40"/>
      <c r="M33" s="40"/>
      <c r="N33" s="40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42">
        <v>1000</v>
      </c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</row>
    <row r="34" spans="1:62" x14ac:dyDescent="0.25">
      <c r="A34" s="48" t="s">
        <v>68</v>
      </c>
      <c r="B34" s="49" t="s">
        <v>67</v>
      </c>
      <c r="C34" s="40"/>
      <c r="D34" s="40"/>
      <c r="E34" s="40"/>
      <c r="F34" s="40"/>
      <c r="G34" s="40">
        <v>1000</v>
      </c>
      <c r="H34" s="40"/>
      <c r="I34" s="40"/>
      <c r="J34" s="40"/>
      <c r="K34" s="40"/>
      <c r="L34" s="40"/>
      <c r="M34" s="40"/>
      <c r="N34" s="40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42">
        <v>1000</v>
      </c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</row>
    <row r="35" spans="1:62" x14ac:dyDescent="0.25">
      <c r="A35" s="48" t="s">
        <v>69</v>
      </c>
      <c r="B35" s="49" t="s">
        <v>77</v>
      </c>
      <c r="C35" s="40"/>
      <c r="D35" s="40"/>
      <c r="E35" s="40"/>
      <c r="F35" s="40"/>
      <c r="G35" s="40"/>
      <c r="H35" s="40">
        <v>7500</v>
      </c>
      <c r="I35" s="40"/>
      <c r="J35" s="40"/>
      <c r="K35" s="40"/>
      <c r="L35" s="40"/>
      <c r="M35" s="40"/>
      <c r="N35" s="40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42">
        <v>10500</v>
      </c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</row>
    <row r="36" spans="1:62" x14ac:dyDescent="0.25">
      <c r="A36" s="48" t="s">
        <v>70</v>
      </c>
      <c r="B36" s="49" t="s">
        <v>78</v>
      </c>
      <c r="C36" s="40"/>
      <c r="D36" s="40"/>
      <c r="E36" s="40"/>
      <c r="F36" s="40"/>
      <c r="G36" s="40"/>
      <c r="H36" s="40">
        <v>8000</v>
      </c>
      <c r="I36" s="40"/>
      <c r="J36" s="40"/>
      <c r="K36" s="40"/>
      <c r="L36" s="40"/>
      <c r="M36" s="40"/>
      <c r="N36" s="40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42">
        <v>8000</v>
      </c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</row>
    <row r="37" spans="1:62" x14ac:dyDescent="0.25">
      <c r="A37" s="48" t="s">
        <v>71</v>
      </c>
      <c r="B37" s="49" t="s">
        <v>79</v>
      </c>
      <c r="C37" s="40"/>
      <c r="D37" s="40"/>
      <c r="E37" s="40"/>
      <c r="F37" s="40"/>
      <c r="G37" s="40"/>
      <c r="H37" s="40">
        <v>5500</v>
      </c>
      <c r="I37" s="40"/>
      <c r="J37" s="40"/>
      <c r="K37" s="40"/>
      <c r="L37" s="40"/>
      <c r="M37" s="40"/>
      <c r="N37" s="40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42">
        <v>6500</v>
      </c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</row>
    <row r="38" spans="1:62" x14ac:dyDescent="0.25">
      <c r="A38" s="48" t="s">
        <v>80</v>
      </c>
      <c r="B38" s="49" t="s">
        <v>82</v>
      </c>
      <c r="C38" s="40"/>
      <c r="D38" s="40"/>
      <c r="E38" s="40"/>
      <c r="F38" s="40"/>
      <c r="G38" s="40"/>
      <c r="H38" s="40">
        <v>7400</v>
      </c>
      <c r="I38" s="40"/>
      <c r="J38" s="40"/>
      <c r="K38" s="40"/>
      <c r="L38" s="40"/>
      <c r="M38" s="40"/>
      <c r="N38" s="40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42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</row>
    <row r="39" spans="1:62" x14ac:dyDescent="0.25">
      <c r="A39" s="48" t="s">
        <v>81</v>
      </c>
      <c r="B39" s="49" t="s">
        <v>83</v>
      </c>
      <c r="C39" s="40"/>
      <c r="D39" s="40"/>
      <c r="E39" s="40"/>
      <c r="F39" s="40"/>
      <c r="G39" s="40"/>
      <c r="H39" s="40">
        <v>4000</v>
      </c>
      <c r="I39" s="40"/>
      <c r="J39" s="40"/>
      <c r="K39" s="40"/>
      <c r="L39" s="40"/>
      <c r="M39" s="40"/>
      <c r="N39" s="40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42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</row>
    <row r="40" spans="1:62" x14ac:dyDescent="0.25">
      <c r="A40" s="65" t="s">
        <v>32</v>
      </c>
      <c r="B40" s="66"/>
      <c r="C40" s="43"/>
      <c r="D40" s="44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37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</row>
    <row r="41" spans="1:62" x14ac:dyDescent="0.25">
      <c r="A41" s="28" t="s">
        <v>14</v>
      </c>
      <c r="B41" s="29" t="s">
        <v>84</v>
      </c>
      <c r="C41" s="40"/>
      <c r="D41" s="40"/>
      <c r="E41" s="40"/>
      <c r="F41" s="40"/>
      <c r="G41" s="40"/>
      <c r="H41" s="40"/>
      <c r="I41" s="40">
        <v>8500</v>
      </c>
      <c r="J41" s="40"/>
      <c r="K41" s="40"/>
      <c r="L41" s="40"/>
      <c r="M41" s="40"/>
      <c r="N41" s="40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>
        <v>8000</v>
      </c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</row>
    <row r="42" spans="1:62" x14ac:dyDescent="0.25">
      <c r="A42" s="28" t="s">
        <v>22</v>
      </c>
      <c r="B42" s="29" t="s">
        <v>85</v>
      </c>
      <c r="C42" s="40"/>
      <c r="D42" s="40"/>
      <c r="E42" s="40"/>
      <c r="F42" s="40"/>
      <c r="G42" s="40"/>
      <c r="H42" s="40"/>
      <c r="I42" s="40">
        <v>7800</v>
      </c>
      <c r="J42" s="40"/>
      <c r="K42" s="40"/>
      <c r="L42" s="40"/>
      <c r="M42" s="40"/>
      <c r="N42" s="40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>
        <v>4000</v>
      </c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</row>
    <row r="43" spans="1:62" x14ac:dyDescent="0.25">
      <c r="A43" s="48"/>
      <c r="B43" s="49" t="s">
        <v>86</v>
      </c>
      <c r="C43" s="40"/>
      <c r="D43" s="40"/>
      <c r="E43" s="40"/>
      <c r="F43" s="40"/>
      <c r="G43" s="40"/>
      <c r="H43" s="40"/>
      <c r="I43" s="40">
        <v>7000</v>
      </c>
      <c r="J43" s="40"/>
      <c r="K43" s="40"/>
      <c r="L43" s="40"/>
      <c r="M43" s="40"/>
      <c r="N43" s="40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>
        <v>9500</v>
      </c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</row>
    <row r="44" spans="1:62" x14ac:dyDescent="0.25">
      <c r="A44" s="48"/>
      <c r="B44" s="49" t="s">
        <v>87</v>
      </c>
      <c r="C44" s="40"/>
      <c r="D44" s="40"/>
      <c r="E44" s="40"/>
      <c r="F44" s="40"/>
      <c r="G44" s="40"/>
      <c r="H44" s="40"/>
      <c r="I44" s="40">
        <v>6200</v>
      </c>
      <c r="J44" s="40"/>
      <c r="K44" s="40"/>
      <c r="L44" s="40"/>
      <c r="M44" s="40"/>
      <c r="N44" s="40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>
        <v>5000</v>
      </c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</row>
    <row r="45" spans="1:62" x14ac:dyDescent="0.25">
      <c r="A45" s="48"/>
      <c r="B45" s="49" t="s">
        <v>88</v>
      </c>
      <c r="C45" s="40"/>
      <c r="D45" s="40"/>
      <c r="E45" s="40"/>
      <c r="F45" s="40"/>
      <c r="G45" s="40"/>
      <c r="H45" s="40"/>
      <c r="I45" s="40">
        <v>5700</v>
      </c>
      <c r="J45" s="40"/>
      <c r="K45" s="40"/>
      <c r="L45" s="40"/>
      <c r="M45" s="40"/>
      <c r="N45" s="40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>
        <v>6200</v>
      </c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</row>
    <row r="46" spans="1:62" x14ac:dyDescent="0.25">
      <c r="A46" s="48"/>
      <c r="B46" s="49" t="s">
        <v>89</v>
      </c>
      <c r="C46" s="40"/>
      <c r="D46" s="40"/>
      <c r="E46" s="40"/>
      <c r="F46" s="40"/>
      <c r="G46" s="40"/>
      <c r="H46" s="40"/>
      <c r="I46" s="40"/>
      <c r="J46" s="40">
        <v>9500</v>
      </c>
      <c r="K46" s="40"/>
      <c r="L46" s="40"/>
      <c r="M46" s="40"/>
      <c r="N46" s="40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>
        <v>2500</v>
      </c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</row>
    <row r="47" spans="1:62" x14ac:dyDescent="0.25">
      <c r="A47" s="48"/>
      <c r="B47" s="49" t="s">
        <v>90</v>
      </c>
      <c r="C47" s="40"/>
      <c r="D47" s="40"/>
      <c r="E47" s="40"/>
      <c r="F47" s="40"/>
      <c r="G47" s="40"/>
      <c r="H47" s="40"/>
      <c r="I47" s="40"/>
      <c r="J47" s="40">
        <v>8800</v>
      </c>
      <c r="K47" s="40"/>
      <c r="L47" s="40"/>
      <c r="M47" s="40"/>
      <c r="N47" s="40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</row>
    <row r="48" spans="1:62" x14ac:dyDescent="0.25">
      <c r="A48" s="48"/>
      <c r="B48" s="49" t="s">
        <v>91</v>
      </c>
      <c r="C48" s="40"/>
      <c r="D48" s="40"/>
      <c r="E48" s="40"/>
      <c r="F48" s="40"/>
      <c r="G48" s="40"/>
      <c r="H48" s="40"/>
      <c r="I48" s="40"/>
      <c r="J48" s="40">
        <v>7200</v>
      </c>
      <c r="K48" s="40"/>
      <c r="L48" s="40"/>
      <c r="M48" s="40"/>
      <c r="N48" s="40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</row>
    <row r="49" spans="1:62" x14ac:dyDescent="0.25">
      <c r="A49" s="48"/>
      <c r="B49" s="49" t="s">
        <v>92</v>
      </c>
      <c r="C49" s="40"/>
      <c r="D49" s="40"/>
      <c r="E49" s="40"/>
      <c r="F49" s="40"/>
      <c r="G49" s="40"/>
      <c r="H49" s="40"/>
      <c r="I49" s="40"/>
      <c r="J49" s="40">
        <v>6600</v>
      </c>
      <c r="K49" s="40"/>
      <c r="L49" s="40"/>
      <c r="M49" s="40"/>
      <c r="N49" s="40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</row>
    <row r="50" spans="1:62" x14ac:dyDescent="0.25">
      <c r="A50" s="48"/>
      <c r="B50" s="49" t="s">
        <v>93</v>
      </c>
      <c r="C50" s="40"/>
      <c r="D50" s="40"/>
      <c r="E50" s="40"/>
      <c r="F50" s="40"/>
      <c r="G50" s="40"/>
      <c r="H50" s="40"/>
      <c r="I50" s="40"/>
      <c r="J50" s="40">
        <v>6000</v>
      </c>
      <c r="K50" s="40"/>
      <c r="L50" s="40"/>
      <c r="M50" s="40"/>
      <c r="N50" s="40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</row>
    <row r="51" spans="1:62" x14ac:dyDescent="0.25">
      <c r="A51" s="65" t="s">
        <v>33</v>
      </c>
      <c r="B51" s="66"/>
      <c r="C51" s="43"/>
      <c r="D51" s="44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</row>
    <row r="52" spans="1:62" x14ac:dyDescent="0.25">
      <c r="A52" s="28" t="s">
        <v>14</v>
      </c>
      <c r="B52" s="29" t="s">
        <v>36</v>
      </c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</row>
    <row r="53" spans="1:62" x14ac:dyDescent="0.25">
      <c r="A53" s="28" t="s">
        <v>22</v>
      </c>
      <c r="B53" s="29" t="s">
        <v>37</v>
      </c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</row>
    <row r="54" spans="1:62" x14ac:dyDescent="0.25">
      <c r="A54" s="28" t="s">
        <v>23</v>
      </c>
      <c r="B54" s="29" t="s">
        <v>38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</row>
    <row r="55" spans="1:62" x14ac:dyDescent="0.25">
      <c r="A55" s="28" t="s">
        <v>34</v>
      </c>
      <c r="B55" s="29" t="s">
        <v>39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</row>
    <row r="56" spans="1:62" x14ac:dyDescent="0.25">
      <c r="A56" s="28" t="s">
        <v>35</v>
      </c>
      <c r="B56" s="29" t="s">
        <v>40</v>
      </c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</row>
    <row r="57" spans="1:62" x14ac:dyDescent="0.25">
      <c r="B57" s="33" t="s">
        <v>26</v>
      </c>
      <c r="C57" s="45">
        <f>SUM(C10:C31)</f>
        <v>13600</v>
      </c>
      <c r="D57" s="45">
        <f>SUM(D10:D31)</f>
        <v>15099</v>
      </c>
      <c r="E57" s="45">
        <f>SUM(E10:E31)</f>
        <v>17995</v>
      </c>
      <c r="F57" s="45">
        <f>SUM(F10:F31)</f>
        <v>21992</v>
      </c>
      <c r="G57" s="45">
        <f>SUM(G10:G34)</f>
        <v>26500</v>
      </c>
      <c r="H57" s="45">
        <f>SUM(H10:H39)</f>
        <v>32400</v>
      </c>
      <c r="I57" s="45">
        <f>SUM(I41:I50)</f>
        <v>35200</v>
      </c>
      <c r="J57" s="45">
        <f>SUM(J46:J50)</f>
        <v>38100</v>
      </c>
      <c r="K57" s="45">
        <f t="shared" ref="K57:AC57" si="0">SUM(K10:K31)</f>
        <v>0</v>
      </c>
      <c r="L57" s="45">
        <f t="shared" si="0"/>
        <v>0</v>
      </c>
      <c r="M57" s="45">
        <f t="shared" si="0"/>
        <v>0</v>
      </c>
      <c r="N57" s="45">
        <f t="shared" si="0"/>
        <v>0</v>
      </c>
      <c r="O57" s="34">
        <f t="shared" si="0"/>
        <v>0</v>
      </c>
      <c r="P57" s="34">
        <f t="shared" si="0"/>
        <v>0</v>
      </c>
      <c r="Q57" s="34">
        <f t="shared" si="0"/>
        <v>0</v>
      </c>
      <c r="R57" s="34">
        <f t="shared" si="0"/>
        <v>0</v>
      </c>
      <c r="S57" s="34">
        <f t="shared" si="0"/>
        <v>0</v>
      </c>
      <c r="T57" s="34">
        <f t="shared" si="0"/>
        <v>0</v>
      </c>
      <c r="U57" s="34">
        <f t="shared" si="0"/>
        <v>0</v>
      </c>
      <c r="V57" s="34">
        <f t="shared" si="0"/>
        <v>0</v>
      </c>
      <c r="W57" s="34">
        <f t="shared" si="0"/>
        <v>0</v>
      </c>
      <c r="X57" s="34">
        <f t="shared" si="0"/>
        <v>0</v>
      </c>
      <c r="Y57" s="34">
        <f t="shared" si="0"/>
        <v>0</v>
      </c>
      <c r="Z57" s="34">
        <f t="shared" si="0"/>
        <v>0</v>
      </c>
      <c r="AA57" s="34">
        <f t="shared" si="0"/>
        <v>0</v>
      </c>
      <c r="AB57" s="34">
        <f t="shared" si="0"/>
        <v>0</v>
      </c>
      <c r="AC57" s="34">
        <f t="shared" si="0"/>
        <v>0</v>
      </c>
      <c r="AD57" s="34">
        <f>SUM(AD10:AD37)</f>
        <v>32400</v>
      </c>
      <c r="AE57" s="34">
        <f>SUM(AE41:AE46)</f>
        <v>35200</v>
      </c>
      <c r="AF57" s="34">
        <f>SUM(AF10:AF31)</f>
        <v>0</v>
      </c>
      <c r="AG57" s="34">
        <f>SUM(AG10:AG31)</f>
        <v>0</v>
      </c>
      <c r="AH57" s="34">
        <f>SUM(AH10:AH31)</f>
        <v>0</v>
      </c>
      <c r="AI57" s="34">
        <f t="shared" ref="AI57:BJ57" si="1">SUM(AI10:AI31)</f>
        <v>0</v>
      </c>
      <c r="AJ57" s="34">
        <f t="shared" si="1"/>
        <v>0</v>
      </c>
      <c r="AK57" s="34">
        <f t="shared" si="1"/>
        <v>0</v>
      </c>
      <c r="AL57" s="34">
        <f t="shared" si="1"/>
        <v>0</v>
      </c>
      <c r="AM57" s="34">
        <f t="shared" si="1"/>
        <v>0</v>
      </c>
      <c r="AN57" s="34">
        <f t="shared" si="1"/>
        <v>0</v>
      </c>
      <c r="AO57" s="34">
        <f t="shared" si="1"/>
        <v>0</v>
      </c>
      <c r="AP57" s="34">
        <f t="shared" si="1"/>
        <v>0</v>
      </c>
      <c r="AQ57" s="34">
        <f t="shared" si="1"/>
        <v>0</v>
      </c>
      <c r="AR57" s="34">
        <f t="shared" si="1"/>
        <v>0</v>
      </c>
      <c r="AS57" s="34">
        <f t="shared" si="1"/>
        <v>0</v>
      </c>
      <c r="AT57" s="34">
        <f t="shared" si="1"/>
        <v>0</v>
      </c>
      <c r="AU57" s="34">
        <f t="shared" si="1"/>
        <v>0</v>
      </c>
      <c r="AV57" s="34">
        <f t="shared" si="1"/>
        <v>0</v>
      </c>
      <c r="AW57" s="34">
        <f t="shared" si="1"/>
        <v>0</v>
      </c>
      <c r="AX57" s="34">
        <f t="shared" si="1"/>
        <v>0</v>
      </c>
      <c r="AY57" s="34">
        <f t="shared" si="1"/>
        <v>0</v>
      </c>
      <c r="AZ57" s="34">
        <f t="shared" si="1"/>
        <v>0</v>
      </c>
      <c r="BA57" s="34">
        <f t="shared" si="1"/>
        <v>0</v>
      </c>
      <c r="BB57" s="34">
        <f t="shared" si="1"/>
        <v>0</v>
      </c>
      <c r="BC57" s="34">
        <f t="shared" si="1"/>
        <v>0</v>
      </c>
      <c r="BD57" s="34">
        <f t="shared" si="1"/>
        <v>0</v>
      </c>
      <c r="BE57" s="34">
        <f t="shared" si="1"/>
        <v>0</v>
      </c>
      <c r="BF57" s="34">
        <f t="shared" si="1"/>
        <v>0</v>
      </c>
      <c r="BG57" s="34">
        <f t="shared" si="1"/>
        <v>0</v>
      </c>
      <c r="BH57" s="34">
        <f t="shared" si="1"/>
        <v>0</v>
      </c>
      <c r="BI57" s="34">
        <f t="shared" si="1"/>
        <v>0</v>
      </c>
      <c r="BJ57" s="34">
        <f t="shared" si="1"/>
        <v>0</v>
      </c>
    </row>
    <row r="58" spans="1:62" x14ac:dyDescent="0.25">
      <c r="O58" s="36"/>
    </row>
    <row r="59" spans="1:62" x14ac:dyDescent="0.25">
      <c r="F59" s="47"/>
    </row>
    <row r="60" spans="1:62" x14ac:dyDescent="0.25">
      <c r="E60" s="39"/>
      <c r="F60" s="46"/>
    </row>
    <row r="62" spans="1:62" x14ac:dyDescent="0.25">
      <c r="D62" s="39"/>
    </row>
  </sheetData>
  <mergeCells count="7">
    <mergeCell ref="A40:B40"/>
    <mergeCell ref="A51:B51"/>
    <mergeCell ref="A6:D6"/>
    <mergeCell ref="A8:B8"/>
    <mergeCell ref="A16:B16"/>
    <mergeCell ref="A28:B28"/>
    <mergeCell ref="A9:B9"/>
  </mergeCells>
  <phoneticPr fontId="1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4"/>
  <sheetViews>
    <sheetView showGridLines="0" tabSelected="1" topLeftCell="C6" zoomScale="90" zoomScaleNormal="90" workbookViewId="0">
      <selection activeCell="C23" sqref="C23"/>
    </sheetView>
  </sheetViews>
  <sheetFormatPr baseColWidth="10" defaultColWidth="11.42578125" defaultRowHeight="15" x14ac:dyDescent="0.25"/>
  <cols>
    <col min="2" max="2" width="3.28515625" customWidth="1"/>
    <col min="3" max="3" width="44.7109375" bestFit="1" customWidth="1"/>
    <col min="4" max="4" width="16.7109375" customWidth="1"/>
    <col min="5" max="5" width="16.140625" bestFit="1" customWidth="1"/>
    <col min="6" max="6" width="17.42578125" customWidth="1"/>
    <col min="7" max="8" width="14.7109375" bestFit="1" customWidth="1"/>
    <col min="9" max="9" width="14.42578125" bestFit="1" customWidth="1"/>
    <col min="10" max="10" width="16.42578125" bestFit="1" customWidth="1"/>
    <col min="11" max="11" width="14.42578125" bestFit="1" customWidth="1"/>
    <col min="12" max="12" width="16.42578125" bestFit="1" customWidth="1"/>
    <col min="13" max="14" width="15.42578125" bestFit="1" customWidth="1"/>
    <col min="15" max="15" width="16.7109375" customWidth="1"/>
    <col min="16" max="16" width="3.28515625" customWidth="1"/>
  </cols>
  <sheetData>
    <row r="1" spans="2:15" ht="15.75" thickBot="1" x14ac:dyDescent="0.3"/>
    <row r="2" spans="2:15" ht="15.75" thickTop="1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 x14ac:dyDescent="0.25">
      <c r="B3" s="5"/>
      <c r="O3" s="6"/>
    </row>
    <row r="4" spans="2:15" x14ac:dyDescent="0.25">
      <c r="B4" s="5"/>
      <c r="O4" s="6"/>
    </row>
    <row r="5" spans="2:15" x14ac:dyDescent="0.25">
      <c r="B5" s="5"/>
      <c r="O5" s="6"/>
    </row>
    <row r="6" spans="2:15" x14ac:dyDescent="0.25">
      <c r="B6" s="5"/>
      <c r="O6" s="6"/>
    </row>
    <row r="7" spans="2:15" ht="21" x14ac:dyDescent="0.35">
      <c r="B7" s="5"/>
      <c r="C7" s="53" t="s">
        <v>9</v>
      </c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4"/>
    </row>
    <row r="8" spans="2:15" x14ac:dyDescent="0.25">
      <c r="B8" s="5"/>
      <c r="O8" s="6"/>
    </row>
    <row r="9" spans="2:15" x14ac:dyDescent="0.25">
      <c r="B9" s="5"/>
      <c r="C9" s="20" t="s">
        <v>2</v>
      </c>
      <c r="D9" s="17" t="s">
        <v>42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</row>
    <row r="10" spans="2:15" x14ac:dyDescent="0.25">
      <c r="B10" s="5"/>
      <c r="C10" s="20" t="s">
        <v>3</v>
      </c>
      <c r="D10" s="55" t="s">
        <v>43</v>
      </c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7"/>
    </row>
    <row r="11" spans="2:15" x14ac:dyDescent="0.25">
      <c r="B11" s="5"/>
      <c r="C11" s="20" t="s">
        <v>5</v>
      </c>
      <c r="D11" s="58">
        <v>46054</v>
      </c>
      <c r="E11" s="59"/>
      <c r="F11" s="60" t="s">
        <v>6</v>
      </c>
      <c r="G11" s="61"/>
      <c r="H11" s="55" t="s">
        <v>11</v>
      </c>
      <c r="I11" s="56"/>
      <c r="J11" s="62"/>
      <c r="K11" s="60" t="s">
        <v>4</v>
      </c>
      <c r="L11" s="61"/>
      <c r="M11" s="58" t="s">
        <v>12</v>
      </c>
      <c r="N11" s="63"/>
      <c r="O11" s="64"/>
    </row>
    <row r="12" spans="2:15" x14ac:dyDescent="0.25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 x14ac:dyDescent="0.25">
      <c r="B13" s="5"/>
      <c r="C13" s="21"/>
      <c r="D13" s="51" t="s">
        <v>27</v>
      </c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2"/>
    </row>
    <row r="14" spans="2:15" x14ac:dyDescent="0.25">
      <c r="B14" s="5"/>
      <c r="C14" s="20" t="s">
        <v>41</v>
      </c>
      <c r="D14" s="22">
        <v>1</v>
      </c>
      <c r="E14" s="22">
        <v>2</v>
      </c>
      <c r="F14" s="22">
        <v>3</v>
      </c>
      <c r="G14" s="22">
        <v>4</v>
      </c>
      <c r="H14" s="22">
        <v>5</v>
      </c>
      <c r="I14" s="22">
        <v>6</v>
      </c>
      <c r="J14" s="22">
        <v>7</v>
      </c>
      <c r="K14" s="22">
        <v>8</v>
      </c>
      <c r="L14" s="22">
        <v>9</v>
      </c>
      <c r="M14" s="22">
        <v>10</v>
      </c>
      <c r="N14" s="22">
        <v>11</v>
      </c>
      <c r="O14" s="22">
        <v>12</v>
      </c>
    </row>
    <row r="15" spans="2:15" x14ac:dyDescent="0.25">
      <c r="B15" s="5"/>
      <c r="C15" s="20" t="s">
        <v>0</v>
      </c>
      <c r="D15" s="1">
        <f>'Detalle de Costos'!C9</f>
        <v>14000</v>
      </c>
      <c r="E15" s="1">
        <f>'Detalle de Costos'!D9</f>
        <v>16000</v>
      </c>
      <c r="F15" s="1">
        <f>'Detalle de Costos'!E9</f>
        <v>20000</v>
      </c>
      <c r="G15" s="1">
        <f>'Detalle de Costos'!F9</f>
        <v>25000</v>
      </c>
      <c r="H15" s="1">
        <f>'Detalle de Costos'!G9</f>
        <v>27000</v>
      </c>
      <c r="I15" s="1">
        <f>'Detalle de Costos'!H9</f>
        <v>33000</v>
      </c>
      <c r="J15" s="1">
        <f>'Detalle de Costos'!I9</f>
        <v>36000</v>
      </c>
      <c r="K15" s="1">
        <f>'Detalle de Costos'!J9</f>
        <v>39000</v>
      </c>
      <c r="L15" s="1">
        <f>'Detalle de Costos'!K9</f>
        <v>35000</v>
      </c>
      <c r="M15" s="1">
        <f>'Detalle de Costos'!L9</f>
        <v>25000</v>
      </c>
      <c r="N15" s="1">
        <f>'Detalle de Costos'!M9</f>
        <v>17000</v>
      </c>
      <c r="O15" s="1">
        <f>'Detalle de Costos'!N9</f>
        <v>13000</v>
      </c>
    </row>
    <row r="16" spans="2:15" x14ac:dyDescent="0.25">
      <c r="B16" s="5"/>
      <c r="C16" s="20" t="s">
        <v>7</v>
      </c>
      <c r="D16" s="16">
        <f>D15</f>
        <v>14000</v>
      </c>
      <c r="E16" s="1">
        <f>E15+D16</f>
        <v>30000</v>
      </c>
      <c r="F16" s="1">
        <f t="shared" ref="F16:O16" si="0">F15+E16</f>
        <v>50000</v>
      </c>
      <c r="G16" s="1">
        <f t="shared" si="0"/>
        <v>75000</v>
      </c>
      <c r="H16" s="1">
        <f t="shared" si="0"/>
        <v>102000</v>
      </c>
      <c r="I16" s="1">
        <f t="shared" si="0"/>
        <v>135000</v>
      </c>
      <c r="J16" s="1">
        <f t="shared" si="0"/>
        <v>171000</v>
      </c>
      <c r="K16" s="1">
        <f t="shared" si="0"/>
        <v>210000</v>
      </c>
      <c r="L16" s="1">
        <f t="shared" si="0"/>
        <v>245000</v>
      </c>
      <c r="M16" s="1">
        <f t="shared" si="0"/>
        <v>270000</v>
      </c>
      <c r="N16" s="1">
        <f t="shared" si="0"/>
        <v>287000</v>
      </c>
      <c r="O16" s="1">
        <f t="shared" si="0"/>
        <v>300000</v>
      </c>
    </row>
    <row r="17" spans="2:15" x14ac:dyDescent="0.25">
      <c r="B17" s="5"/>
      <c r="C17" s="20" t="s">
        <v>1</v>
      </c>
      <c r="D17" s="1">
        <f>'Detalle de Costos'!C57</f>
        <v>13600</v>
      </c>
      <c r="E17" s="1">
        <f>'Detalle de Costos'!D57</f>
        <v>15099</v>
      </c>
      <c r="F17" s="1">
        <f>'Detalle de Costos'!E57</f>
        <v>17995</v>
      </c>
      <c r="G17" s="1">
        <f>'Detalle de Costos'!F57</f>
        <v>21992</v>
      </c>
      <c r="H17" s="1">
        <f>'Detalle de Costos'!G57</f>
        <v>26500</v>
      </c>
      <c r="I17" s="1">
        <f>'Detalle de Costos'!H57</f>
        <v>32400</v>
      </c>
      <c r="J17" s="1">
        <f>'Detalle de Costos'!I57</f>
        <v>35200</v>
      </c>
      <c r="K17" s="1">
        <f>'Detalle de Costos'!J57</f>
        <v>38100</v>
      </c>
      <c r="L17" s="1">
        <f>'Detalle de Costos'!K57</f>
        <v>0</v>
      </c>
      <c r="M17" s="1">
        <f>'Detalle de Costos'!L57</f>
        <v>0</v>
      </c>
      <c r="N17" s="1">
        <f>'Detalle de Costos'!M57</f>
        <v>0</v>
      </c>
      <c r="O17" s="1">
        <f>'Detalle de Costos'!N57</f>
        <v>0</v>
      </c>
    </row>
    <row r="18" spans="2:15" x14ac:dyDescent="0.25">
      <c r="B18" s="5"/>
      <c r="C18" s="20" t="s">
        <v>8</v>
      </c>
      <c r="D18" s="1">
        <f>D17</f>
        <v>13600</v>
      </c>
      <c r="E18" s="1">
        <f>D18+E17</f>
        <v>28699</v>
      </c>
      <c r="F18" s="1">
        <f t="shared" ref="F18:G18" si="1">E18+F17</f>
        <v>46694</v>
      </c>
      <c r="G18" s="1">
        <f t="shared" si="1"/>
        <v>68686</v>
      </c>
      <c r="H18" s="1">
        <f t="shared" ref="H18" si="2">G18+H17</f>
        <v>95186</v>
      </c>
      <c r="I18" s="1">
        <f t="shared" ref="I18" si="3">H18+I17</f>
        <v>127586</v>
      </c>
      <c r="J18" s="1">
        <f t="shared" ref="J18" si="4">I18+J17</f>
        <v>162786</v>
      </c>
      <c r="K18" s="1">
        <f t="shared" ref="K18" si="5">J18+K17</f>
        <v>200886</v>
      </c>
      <c r="L18" s="1"/>
      <c r="M18" s="1"/>
      <c r="N18" s="1"/>
      <c r="O18" s="1"/>
    </row>
    <row r="19" spans="2:15" x14ac:dyDescent="0.25">
      <c r="B19" s="5"/>
      <c r="O19" s="6"/>
    </row>
    <row r="20" spans="2:15" x14ac:dyDescent="0.25">
      <c r="B20" s="5"/>
      <c r="O20" s="6"/>
    </row>
    <row r="21" spans="2:15" x14ac:dyDescent="0.25">
      <c r="B21" s="5"/>
      <c r="C21" s="7"/>
      <c r="D21" s="13"/>
      <c r="E21" s="14"/>
      <c r="O21" s="6"/>
    </row>
    <row r="22" spans="2:15" x14ac:dyDescent="0.25">
      <c r="B22" s="5"/>
      <c r="O22" s="6"/>
    </row>
    <row r="23" spans="2:15" x14ac:dyDescent="0.25">
      <c r="B23" s="5"/>
      <c r="O23" s="6"/>
    </row>
    <row r="24" spans="2:15" x14ac:dyDescent="0.25">
      <c r="B24" s="5"/>
      <c r="O24" s="6"/>
    </row>
    <row r="25" spans="2:15" x14ac:dyDescent="0.25">
      <c r="B25" s="5"/>
      <c r="O25" s="6"/>
    </row>
    <row r="26" spans="2:15" x14ac:dyDescent="0.25">
      <c r="B26" s="5"/>
      <c r="O26" s="6"/>
    </row>
    <row r="27" spans="2:15" x14ac:dyDescent="0.25">
      <c r="B27" s="5"/>
      <c r="O27" s="6"/>
    </row>
    <row r="28" spans="2:15" x14ac:dyDescent="0.25">
      <c r="B28" s="5"/>
      <c r="O28" s="6"/>
    </row>
    <row r="29" spans="2:15" x14ac:dyDescent="0.25">
      <c r="B29" s="5"/>
      <c r="O29" s="6"/>
    </row>
    <row r="30" spans="2:15" x14ac:dyDescent="0.25">
      <c r="B30" s="5"/>
      <c r="O30" s="6"/>
    </row>
    <row r="31" spans="2:15" x14ac:dyDescent="0.25">
      <c r="B31" s="5"/>
      <c r="O31" s="6"/>
    </row>
    <row r="32" spans="2:15" x14ac:dyDescent="0.25">
      <c r="B32" s="5"/>
      <c r="O32" s="6"/>
    </row>
    <row r="33" spans="2:15" x14ac:dyDescent="0.25">
      <c r="B33" s="5"/>
      <c r="O33" s="6"/>
    </row>
    <row r="34" spans="2:15" x14ac:dyDescent="0.25">
      <c r="B34" s="5"/>
      <c r="O34" s="6"/>
    </row>
    <row r="35" spans="2:15" x14ac:dyDescent="0.25">
      <c r="B35" s="5"/>
      <c r="O35" s="6"/>
    </row>
    <row r="36" spans="2:15" x14ac:dyDescent="0.25">
      <c r="B36" s="5"/>
      <c r="O36" s="6"/>
    </row>
    <row r="37" spans="2:15" x14ac:dyDescent="0.25">
      <c r="B37" s="5"/>
      <c r="O37" s="6"/>
    </row>
    <row r="38" spans="2:15" x14ac:dyDescent="0.25">
      <c r="B38" s="5"/>
      <c r="O38" s="6"/>
    </row>
    <row r="39" spans="2:15" x14ac:dyDescent="0.25">
      <c r="B39" s="5"/>
      <c r="O39" s="6"/>
    </row>
    <row r="40" spans="2:15" x14ac:dyDescent="0.25">
      <c r="B40" s="5"/>
      <c r="O40" s="6"/>
    </row>
    <row r="41" spans="2:15" x14ac:dyDescent="0.25">
      <c r="B41" s="5"/>
      <c r="O41" s="6"/>
    </row>
    <row r="42" spans="2:15" x14ac:dyDescent="0.25">
      <c r="B42" s="5"/>
      <c r="O42" s="6"/>
    </row>
    <row r="43" spans="2:15" ht="15.75" thickBot="1" x14ac:dyDescent="0.3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</row>
    <row r="44" spans="2:15" ht="15.75" thickTop="1" x14ac:dyDescent="0.25"/>
  </sheetData>
  <mergeCells count="8">
    <mergeCell ref="D13:O13"/>
    <mergeCell ref="C7:O7"/>
    <mergeCell ref="D10:O10"/>
    <mergeCell ref="D11:E11"/>
    <mergeCell ref="F11:G11"/>
    <mergeCell ref="H11:J11"/>
    <mergeCell ref="K11:L11"/>
    <mergeCell ref="M11:O11"/>
  </mergeCells>
  <phoneticPr fontId="11" type="noConversion"/>
  <pageMargins left="0.7" right="0.7" top="0.75" bottom="0.75" header="0.3" footer="0.3"/>
  <pageSetup scale="3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de Costos</vt:lpstr>
      <vt:lpstr>Plantilla Curva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KATIA DAYANA CASTRO CABRERA</cp:lastModifiedBy>
  <cp:lastPrinted>2012-06-13T17:33:48Z</cp:lastPrinted>
  <dcterms:created xsi:type="dcterms:W3CDTF">2012-05-23T17:29:07Z</dcterms:created>
  <dcterms:modified xsi:type="dcterms:W3CDTF">2026-04-30T01:53:01Z</dcterms:modified>
</cp:coreProperties>
</file>