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dca95d1abf04889/Documentos/Merca electronica/Gestion de Proyecto y herramientas/"/>
    </mc:Choice>
  </mc:AlternateContent>
  <xr:revisionPtr revIDLastSave="0" documentId="8_{4AEEC487-7B14-491E-A042-4DD9A77E1A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alor ganado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4" l="1"/>
  <c r="C33" i="14"/>
  <c r="C32" i="14"/>
  <c r="C31" i="14"/>
  <c r="C30" i="14"/>
  <c r="I24" i="14"/>
  <c r="I25" i="14" s="1"/>
  <c r="I22" i="14"/>
  <c r="I20" i="14"/>
  <c r="H25" i="14"/>
  <c r="E25" i="14"/>
  <c r="D25" i="14"/>
  <c r="F24" i="14"/>
  <c r="E24" i="14"/>
  <c r="D24" i="14"/>
  <c r="G24" i="14"/>
  <c r="H24" i="14"/>
  <c r="F20" i="14"/>
  <c r="G20" i="14" s="1"/>
  <c r="H20" i="14" s="1"/>
  <c r="E22" i="14" l="1"/>
  <c r="F22" i="14" s="1"/>
  <c r="G22" i="14" s="1"/>
  <c r="H22" i="14" s="1"/>
  <c r="D22" i="14"/>
  <c r="F25" i="14"/>
  <c r="G25" i="14" s="1"/>
</calcChain>
</file>

<file path=xl/sharedStrings.xml><?xml version="1.0" encoding="utf-8"?>
<sst xmlns="http://schemas.openxmlformats.org/spreadsheetml/2006/main" count="53" uniqueCount="53">
  <si>
    <t xml:space="preserve"> </t>
  </si>
  <si>
    <t xml:space="preserve">Valor ganado del trabajo realizado  </t>
  </si>
  <si>
    <t>PV</t>
  </si>
  <si>
    <t>AC</t>
  </si>
  <si>
    <t>EV</t>
  </si>
  <si>
    <t>Valor ganado del trabajo realizado acumulado</t>
  </si>
  <si>
    <t>Valor</t>
  </si>
  <si>
    <t>Costo total prespuestado BAC</t>
  </si>
  <si>
    <t>Gestión del Valor Ganado</t>
  </si>
  <si>
    <t>Valor Ganado</t>
  </si>
  <si>
    <t>Proyecto:</t>
  </si>
  <si>
    <t>ID:</t>
  </si>
  <si>
    <t>Fecha de Inicio</t>
  </si>
  <si>
    <t>Fecha Fin:</t>
  </si>
  <si>
    <t>Fecha de Corte:</t>
  </si>
  <si>
    <t>Valor Planificado</t>
  </si>
  <si>
    <t>Valor Planificado Acumulado</t>
  </si>
  <si>
    <t>Costo Real</t>
  </si>
  <si>
    <t>Costo Real Acumulado</t>
  </si>
  <si>
    <t>Indices y variaciones</t>
  </si>
  <si>
    <r>
      <t>Variación del costo (CV/Cost Variance) [</t>
    </r>
    <r>
      <rPr>
        <b/>
        <sz val="10"/>
        <color theme="1"/>
        <rFont val="Verdana"/>
        <family val="2"/>
      </rPr>
      <t>CV=EV-AC</t>
    </r>
    <r>
      <rPr>
        <sz val="10"/>
        <color theme="1"/>
        <rFont val="Verdana"/>
        <family val="2"/>
      </rPr>
      <t>]</t>
    </r>
  </si>
  <si>
    <r>
      <t>Índice de desempeño del cronograma del proyecto (SPI/Schedule Performance Index) [</t>
    </r>
    <r>
      <rPr>
        <b/>
        <sz val="10"/>
        <color theme="1"/>
        <rFont val="Verdana"/>
        <family val="2"/>
      </rPr>
      <t>SPI = EV/PV</t>
    </r>
    <r>
      <rPr>
        <sz val="10"/>
        <color theme="1"/>
        <rFont val="Verdana"/>
        <family val="2"/>
      </rPr>
      <t>]</t>
    </r>
  </si>
  <si>
    <t>Porcentaje de avance completado del mes</t>
  </si>
  <si>
    <t>%comp</t>
  </si>
  <si>
    <t>CV positiva, el proyecto ha gastado menos de lo presupuestado</t>
  </si>
  <si>
    <t>CV negativa, el proyecto está sobre gastado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</si>
  <si>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</si>
  <si>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</si>
  <si>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</si>
  <si>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</si>
  <si>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</si>
  <si>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</si>
  <si>
    <r>
      <t>Variación del cronograma (SV/Schedule Variance)                    [</t>
    </r>
    <r>
      <rPr>
        <b/>
        <sz val="10"/>
        <color theme="1"/>
        <rFont val="Verdana"/>
        <family val="2"/>
      </rPr>
      <t>SV=EV-PV</t>
    </r>
    <r>
      <rPr>
        <sz val="10"/>
        <color theme="1"/>
        <rFont val="Verdana"/>
        <family val="2"/>
      </rPr>
      <t>]</t>
    </r>
  </si>
  <si>
    <r>
      <t>Índice de desempeño del costo (CPI/Cost Performance Index)</t>
    </r>
    <r>
      <rPr>
        <b/>
        <sz val="10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[</t>
    </r>
    <r>
      <rPr>
        <b/>
        <sz val="10"/>
        <color theme="1"/>
        <rFont val="Verdana"/>
        <family val="2"/>
      </rPr>
      <t>CPI = EV/AC</t>
    </r>
    <r>
      <rPr>
        <sz val="10"/>
        <color theme="1"/>
        <rFont val="Verdana"/>
        <family val="2"/>
      </rPr>
      <t>]</t>
    </r>
  </si>
  <si>
    <r>
      <t>Estimación a la conclusión (EAC/Estimate at Completion)           [</t>
    </r>
    <r>
      <rPr>
        <b/>
        <sz val="10"/>
        <color theme="1"/>
        <rFont val="Verdana"/>
        <family val="2"/>
      </rPr>
      <t>EAC = BAC/CPI</t>
    </r>
    <r>
      <rPr>
        <sz val="10"/>
        <color theme="1"/>
        <rFont val="Verdana"/>
        <family val="2"/>
      </rPr>
      <t>]</t>
    </r>
  </si>
  <si>
    <t>Mes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</si>
  <si>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</si>
  <si>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</si>
  <si>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</si>
  <si>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</si>
  <si>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</si>
  <si>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</si>
  <si>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</si>
  <si>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</si>
  <si>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</si>
  <si>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</si>
  <si>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</si>
  <si>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</si>
  <si>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Análisis de Portafolio de Productos</t>
  </si>
  <si>
    <t>APP-EST-015</t>
  </si>
  <si>
    <t>26 de Enero de 2026</t>
  </si>
  <si>
    <t>31 de Mayo de 2026</t>
  </si>
  <si>
    <t>27 de Febrero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</si>
</sst>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0.0"/>
    <numFmt numFmtId="165" formatCode="0.0000"/>
    <numFmt numFmtId="166" formatCode="_-* #,##0_-;\-* #,##0_-;_-* &quot;-&quot;??_-;_-@_-"/>
    <numFmt numFmtId="167" formatCode="_-&quot;$&quot;* #,##0_-;\-&quot;$&quot;* #,##0_-;_-&quot;$&quot;* &quot;-&quot;??_-;_-@_-"/>
    <numFmt numFmtId="168" formatCode="#,##0_ ;[Red]\-#,##0\ "/>
    <numFmt numFmtId="169" formatCode="&quot;$&quot;#,##0.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Verdana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 applyAlignment="1">
      <alignment horizontal="justify"/>
    </xf>
    <xf numFmtId="0" fontId="3" fillId="0" borderId="0" xfId="0" applyFont="1" applyAlignment="1">
      <alignment horizontal="left" vertical="center"/>
    </xf>
    <xf numFmtId="164" fontId="0" fillId="0" borderId="0" xfId="0" applyNumberFormat="1"/>
    <xf numFmtId="3" fontId="5" fillId="2" borderId="9" xfId="0" applyNumberFormat="1" applyFont="1" applyFill="1" applyBorder="1" applyAlignment="1">
      <alignment horizontal="center" vertical="top" wrapText="1"/>
    </xf>
    <xf numFmtId="3" fontId="5" fillId="2" borderId="10" xfId="0" applyNumberFormat="1" applyFont="1" applyFill="1" applyBorder="1" applyAlignment="1">
      <alignment horizontal="center" vertical="top" wrapText="1"/>
    </xf>
    <xf numFmtId="3" fontId="5" fillId="2" borderId="11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0" fontId="3" fillId="0" borderId="0" xfId="0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2" fontId="2" fillId="0" borderId="6" xfId="0" applyNumberFormat="1" applyFont="1" applyBorder="1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14" xfId="0" applyBorder="1"/>
    <xf numFmtId="0" fontId="0" fillId="0" borderId="15" xfId="0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5" borderId="14" xfId="0" applyFont="1" applyFill="1" applyBorder="1"/>
    <xf numFmtId="0" fontId="9" fillId="5" borderId="5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9" fillId="5" borderId="12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11" fillId="0" borderId="2" xfId="0" applyFont="1" applyBorder="1" applyAlignment="1">
      <alignment vertical="center" wrapText="1"/>
    </xf>
    <xf numFmtId="166" fontId="2" fillId="0" borderId="4" xfId="1" applyNumberFormat="1" applyFont="1" applyBorder="1" applyAlignment="1">
      <alignment horizontal="right"/>
    </xf>
    <xf numFmtId="0" fontId="9" fillId="5" borderId="9" xfId="0" applyFont="1" applyFill="1" applyBorder="1" applyAlignment="1">
      <alignment horizontal="right"/>
    </xf>
    <xf numFmtId="0" fontId="0" fillId="5" borderId="12" xfId="0" applyFill="1" applyBorder="1"/>
    <xf numFmtId="0" fontId="9" fillId="5" borderId="17" xfId="0" applyFont="1" applyFill="1" applyBorder="1"/>
    <xf numFmtId="0" fontId="0" fillId="5" borderId="1" xfId="0" applyFill="1" applyBorder="1"/>
    <xf numFmtId="0" fontId="9" fillId="5" borderId="6" xfId="0" applyFont="1" applyFill="1" applyBorder="1" applyAlignment="1">
      <alignment horizontal="center"/>
    </xf>
    <xf numFmtId="0" fontId="0" fillId="0" borderId="20" xfId="0" applyBorder="1"/>
    <xf numFmtId="0" fontId="9" fillId="5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0" fontId="9" fillId="5" borderId="3" xfId="0" applyFont="1" applyFill="1" applyBorder="1" applyAlignment="1">
      <alignment horizontal="center"/>
    </xf>
    <xf numFmtId="167" fontId="0" fillId="3" borderId="5" xfId="1" applyNumberFormat="1" applyFont="1" applyFill="1" applyBorder="1"/>
    <xf numFmtId="167" fontId="0" fillId="3" borderId="16" xfId="1" applyNumberFormat="1" applyFont="1" applyFill="1" applyBorder="1"/>
    <xf numFmtId="168" fontId="0" fillId="3" borderId="5" xfId="1" applyNumberFormat="1" applyFont="1" applyFill="1" applyBorder="1"/>
    <xf numFmtId="0" fontId="9" fillId="5" borderId="12" xfId="0" applyFont="1" applyFill="1" applyBorder="1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4" xfId="0" applyBorder="1"/>
    <xf numFmtId="14" fontId="0" fillId="0" borderId="25" xfId="0" applyNumberFormat="1" applyBorder="1"/>
    <xf numFmtId="14" fontId="0" fillId="0" borderId="26" xfId="0" applyNumberFormat="1" applyBorder="1"/>
    <xf numFmtId="0" fontId="9" fillId="5" borderId="25" xfId="0" applyFont="1" applyFill="1" applyBorder="1"/>
    <xf numFmtId="0" fontId="9" fillId="5" borderId="26" xfId="0" applyFont="1" applyFill="1" applyBorder="1"/>
    <xf numFmtId="0" fontId="12" fillId="0" borderId="25" xfId="0" applyFont="1" applyBorder="1"/>
    <xf numFmtId="0" fontId="0" fillId="0" borderId="27" xfId="0" applyBorder="1"/>
    <xf numFmtId="0" fontId="0" fillId="0" borderId="26" xfId="0" applyBorder="1"/>
    <xf numFmtId="14" fontId="0" fillId="0" borderId="27" xfId="0" applyNumberFormat="1" applyBorder="1"/>
    <xf numFmtId="14" fontId="0" fillId="0" borderId="28" xfId="0" applyNumberFormat="1" applyBorder="1"/>
    <xf numFmtId="0" fontId="0" fillId="0" borderId="29" xfId="0" applyBorder="1"/>
    <xf numFmtId="0" fontId="2" fillId="0" borderId="0" xfId="0" applyFont="1" applyAlignment="1">
      <alignment vertical="center"/>
    </xf>
    <xf numFmtId="169" fontId="14" fillId="3" borderId="11" xfId="0" applyNumberFormat="1" applyFont="1" applyFill="1" applyBorder="1" applyAlignment="1">
      <alignment horizontal="center"/>
    </xf>
    <xf numFmtId="169" fontId="13" fillId="3" borderId="7" xfId="0" applyNumberFormat="1" applyFont="1" applyFill="1" applyBorder="1" applyAlignment="1" applyProtection="1">
      <alignment horizontal="right" vertical="top" wrapText="1"/>
      <protection locked="0"/>
    </xf>
    <xf numFmtId="169" fontId="15" fillId="3" borderId="7" xfId="0" applyNumberFormat="1" applyFont="1" applyFill="1" applyBorder="1" applyAlignment="1" applyProtection="1">
      <alignment horizontal="right" vertical="top" wrapText="1"/>
      <protection locked="0"/>
    </xf>
    <xf numFmtId="169" fontId="15" fillId="3" borderId="7" xfId="0" quotePrefix="1" applyNumberFormat="1" applyFont="1" applyFill="1" applyBorder="1" applyAlignment="1" applyProtection="1">
      <alignment horizontal="right" vertical="top" wrapText="1"/>
      <protection locked="0"/>
    </xf>
    <xf numFmtId="169" fontId="15" fillId="3" borderId="8" xfId="0" applyNumberFormat="1" applyFont="1" applyFill="1" applyBorder="1" applyAlignment="1" applyProtection="1">
      <alignment horizontal="right" vertical="top" wrapText="1"/>
      <protection locked="0"/>
    </xf>
    <xf numFmtId="169" fontId="15" fillId="3" borderId="5" xfId="0" applyNumberFormat="1" applyFont="1" applyFill="1" applyBorder="1" applyAlignment="1" applyProtection="1">
      <alignment horizontal="right" vertical="top" wrapText="1"/>
      <protection locked="0"/>
    </xf>
    <xf numFmtId="169" fontId="15" fillId="3" borderId="6" xfId="0" applyNumberFormat="1" applyFont="1" applyFill="1" applyBorder="1" applyAlignment="1" applyProtection="1">
      <alignment horizontal="right" vertical="top" wrapText="1"/>
      <protection locked="0"/>
    </xf>
    <xf numFmtId="10" fontId="15" fillId="3" borderId="21" xfId="0" applyNumberFormat="1" applyFont="1" applyFill="1" applyBorder="1" applyAlignment="1">
      <alignment horizontal="right" vertical="top" wrapText="1"/>
    </xf>
    <xf numFmtId="9" fontId="15" fillId="3" borderId="22" xfId="0" applyNumberFormat="1" applyFont="1" applyFill="1" applyBorder="1" applyAlignment="1">
      <alignment horizontal="right" vertical="top" wrapText="1"/>
    </xf>
    <xf numFmtId="10" fontId="15" fillId="3" borderId="22" xfId="0" applyNumberFormat="1" applyFont="1" applyFill="1" applyBorder="1" applyAlignment="1">
      <alignment horizontal="right" vertical="top" wrapText="1"/>
    </xf>
    <xf numFmtId="10" fontId="15" fillId="3" borderId="23" xfId="0" applyNumberFormat="1" applyFont="1" applyFill="1" applyBorder="1" applyAlignment="1">
      <alignment horizontal="right" vertical="top" wrapText="1"/>
    </xf>
    <xf numFmtId="0" fontId="9" fillId="5" borderId="18" xfId="0" applyFont="1" applyFill="1" applyBorder="1" applyAlignment="1">
      <alignment horizontal="center"/>
    </xf>
    <xf numFmtId="0" fontId="9" fillId="5" borderId="19" xfId="0" applyFont="1" applyFill="1" applyBorder="1" applyAlignment="1">
      <alignment horizontal="center"/>
    </xf>
    <xf numFmtId="1" fontId="8" fillId="3" borderId="0" xfId="0" applyNumberFormat="1" applyFont="1" applyFill="1" applyAlignment="1" applyProtection="1">
      <alignment horizontal="center" vertical="top" wrapText="1"/>
      <protection locked="0"/>
    </xf>
    <xf numFmtId="14" fontId="8" fillId="3" borderId="0" xfId="0" applyNumberFormat="1" applyFont="1" applyFill="1" applyAlignment="1" applyProtection="1">
      <alignment horizontal="center" vertical="top" wrapText="1"/>
      <protection locked="0"/>
    </xf>
    <xf numFmtId="0" fontId="10" fillId="4" borderId="0" xfId="0" applyFont="1" applyFill="1" applyAlignment="1">
      <alignment horizontal="center"/>
    </xf>
    <xf numFmtId="169" fontId="15" fillId="3" borderId="22" xfId="0" applyNumberFormat="1" applyFont="1" applyFill="1" applyBorder="1" applyAlignment="1" applyProtection="1">
      <alignment horizontal="right" vertical="top" wrapText="1"/>
      <protection locked="0"/>
    </xf>
    <xf numFmtId="167" fontId="0" fillId="3" borderId="22" xfId="1" applyNumberFormat="1" applyFont="1" applyFill="1" applyBorder="1"/>
  </cellXfs>
  <cellStyles count="2">
    <cellStyle name="Moneda" xfId="1" builtinId="4"/>
    <cellStyle name="Normal" xfId="0" builtinId="0"/>
  </cellStyles>
  <dxfs count="46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alignment horizontal="righ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colors>
    <mruColors>
      <color rgb="FF005073"/>
      <color rgb="FFFF9999"/>
      <color rgb="FF9966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8982568929505"/>
          <c:y val="3.0478231990821811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'Valor ganado'!$C$20</c:f>
              <c:strCache>
                <c:ptCount val="1"/>
                <c:pt idx="0">
                  <c:v>PV</c:v>
                </c:pt>
              </c:strCache>
            </c:strRef>
          </c:tx>
          <c:spPr>
            <a:ln w="25400"/>
          </c:spPr>
          <c:cat>
            <c:strRef>
              <c:f>'Valor ganado'!$D$17:$O$17</c:f>
              <c:strCache>
                <c:ptCount val="12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  <c:pt idx="6">
                  <c:v>Sem 7</c:v>
                </c:pt>
                <c:pt idx="7">
                  <c:v>Sem 8</c:v>
                </c:pt>
                <c:pt idx="8">
                  <c:v>Sem 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</c:strCache>
            </c:strRef>
          </c:cat>
          <c:val>
            <c:numRef>
              <c:f>'Valor ganado'!$D$20:$O$20</c:f>
              <c:numCache>
                <c:formatCode>_-"$"* #,##0_-;\-"$"* #,##0_-;_-"$"* "-"??_-;_-@_-</c:formatCode>
                <c:ptCount val="12"/>
                <c:pt idx="0">
                  <c:v>14000</c:v>
                </c:pt>
                <c:pt idx="1">
                  <c:v>30000</c:v>
                </c:pt>
                <c:pt idx="2">
                  <c:v>50000</c:v>
                </c:pt>
                <c:pt idx="3">
                  <c:v>75000</c:v>
                </c:pt>
                <c:pt idx="4">
                  <c:v>102000</c:v>
                </c:pt>
                <c:pt idx="5">
                  <c:v>135000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E-4041-B096-BAB4900A56AD}"/>
            </c:ext>
          </c:extLst>
        </c:ser>
        <c:ser>
          <c:idx val="1"/>
          <c:order val="1"/>
          <c:tx>
            <c:strRef>
              <c:f>'Valor ganado'!$C$22</c:f>
              <c:strCache>
                <c:ptCount val="1"/>
                <c:pt idx="0">
                  <c:v>AC</c:v>
                </c:pt>
              </c:strCache>
            </c:strRef>
          </c:tx>
          <c:spPr>
            <a:ln w="25400"/>
          </c:spPr>
          <c:cat>
            <c:strRef>
              <c:f>'Valor ganado'!$D$17:$O$17</c:f>
              <c:strCache>
                <c:ptCount val="12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  <c:pt idx="6">
                  <c:v>Sem 7</c:v>
                </c:pt>
                <c:pt idx="7">
                  <c:v>Sem 8</c:v>
                </c:pt>
                <c:pt idx="8">
                  <c:v>Sem 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</c:strCache>
            </c:strRef>
          </c:cat>
          <c:val>
            <c:numRef>
              <c:f>'Valor ganado'!$D$22:$O$22</c:f>
              <c:numCache>
                <c:formatCode>_-"$"* #,##0_-;\-"$"* #,##0_-;_-"$"* "-"??_-;_-@_-</c:formatCode>
                <c:ptCount val="12"/>
                <c:pt idx="0">
                  <c:v>13294</c:v>
                </c:pt>
                <c:pt idx="1">
                  <c:v>28248.5</c:v>
                </c:pt>
                <c:pt idx="2">
                  <c:v>46373.5</c:v>
                </c:pt>
                <c:pt idx="3">
                  <c:v>71009</c:v>
                </c:pt>
                <c:pt idx="4">
                  <c:v>96819</c:v>
                </c:pt>
                <c:pt idx="5">
                  <c:v>128704.5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4E-4041-B096-BAB4900A56AD}"/>
            </c:ext>
          </c:extLst>
        </c:ser>
        <c:ser>
          <c:idx val="2"/>
          <c:order val="2"/>
          <c:tx>
            <c:strRef>
              <c:f>'Valor ganado'!$C$25</c:f>
              <c:strCache>
                <c:ptCount val="1"/>
                <c:pt idx="0">
                  <c:v>EV</c:v>
                </c:pt>
              </c:strCache>
            </c:strRef>
          </c:tx>
          <c:spPr>
            <a:ln w="25400"/>
          </c:spPr>
          <c:marker>
            <c:symbol val="triangle"/>
            <c:size val="5"/>
          </c:marker>
          <c:cat>
            <c:strRef>
              <c:f>'Valor ganado'!$D$17:$O$17</c:f>
              <c:strCache>
                <c:ptCount val="12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  <c:pt idx="6">
                  <c:v>Sem 7</c:v>
                </c:pt>
                <c:pt idx="7">
                  <c:v>Sem 8</c:v>
                </c:pt>
                <c:pt idx="8">
                  <c:v>Sem 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</c:strCache>
            </c:strRef>
          </c:cat>
          <c:val>
            <c:numRef>
              <c:f>'Valor ganado'!$D$25:$O$25</c:f>
              <c:numCache>
                <c:formatCode>_-"$"* #,##0_-;\-"$"* #,##0_-;_-"$"* "-"??_-;_-@_-</c:formatCode>
                <c:ptCount val="12"/>
                <c:pt idx="0">
                  <c:v>282000</c:v>
                </c:pt>
                <c:pt idx="1">
                  <c:v>564000</c:v>
                </c:pt>
                <c:pt idx="2">
                  <c:v>840000</c:v>
                </c:pt>
                <c:pt idx="3">
                  <c:v>1124010</c:v>
                </c:pt>
                <c:pt idx="4">
                  <c:v>1408770</c:v>
                </c:pt>
                <c:pt idx="5">
                  <c:v>1694760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4E-4041-B096-BAB4900A5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14144"/>
        <c:axId val="197172608"/>
      </c:lineChart>
      <c:catAx>
        <c:axId val="1942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97172608"/>
        <c:crosses val="autoZero"/>
        <c:auto val="1"/>
        <c:lblAlgn val="ctr"/>
        <c:lblOffset val="100"/>
        <c:tickLblSkip val="1"/>
        <c:noMultiLvlLbl val="0"/>
      </c:catAx>
      <c:valAx>
        <c:axId val="197172608"/>
        <c:scaling>
          <c:orientation val="minMax"/>
        </c:scaling>
        <c:delete val="0"/>
        <c:axPos val="l"/>
        <c:numFmt formatCode="_-&quot;$&quot;* #,##0_-;\-&quot;$&quot;* #,##0_-;_-&quot;$&quot;* &quot;-&quot;??_-;_-@_-" sourceLinked="1"/>
        <c:majorTickMark val="none"/>
        <c:minorTickMark val="none"/>
        <c:tickLblPos val="nextTo"/>
        <c:crossAx val="19421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392287632928903"/>
          <c:y val="0.40323508525919333"/>
          <c:w val="8.5804249437789318E-2"/>
          <c:h val="0.2006644441747791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154782</xdr:colOff>
      <xdr:row>25</xdr:row>
      <xdr:rowOff>154782</xdr:rowOff>
    </xdr:from>
    <xdr:to>
      <xdr:col>15</xdr:col>
      <xdr:colOff>47625</xdr:colOff>
      <xdr:row>47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838" y="469174"/>
          <a:ext cx="2305050" cy="913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465181</xdr:colOff>
      <xdr:row>32</xdr:row>
      <xdr:rowOff>152704</xdr:rowOff>
    </xdr:from>
    <xdr:ext cx="3296159" cy="530658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457134">
          <a:off x="8475706" y="6905929"/>
          <a:ext cx="3296159" cy="53065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800"/>
            <a:t>Gráfica Valor Ganado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423" displayName="Table13423" ref="D17:O25" totalsRowShown="0" headerRowDxfId="45" dataDxfId="43" headerRowBorderDxfId="44" tableBorderDxfId="42" totalsRowBorderDxfId="41">
  <tableColumns count="12">
    <tableColumn id="1" xr3:uid="{00000000-0010-0000-0000-000001000000}" name="Sem 1" dataDxfId="40"/>
    <tableColumn id="2" xr3:uid="{00000000-0010-0000-0000-000002000000}" name="Sem 2" dataDxfId="39"/>
    <tableColumn id="3" xr3:uid="{00000000-0010-0000-0000-000003000000}" name="Sem 3" dataDxfId="38"/>
    <tableColumn id="4" xr3:uid="{00000000-0010-0000-0000-000004000000}" name="Sem 4" dataDxfId="37"/>
    <tableColumn id="5" xr3:uid="{00000000-0010-0000-0000-000005000000}" name="Sem 5" dataDxfId="36"/>
    <tableColumn id="6" xr3:uid="{00000000-0010-0000-0000-000006000000}" name="Sem 6" dataDxfId="35"/>
    <tableColumn id="7" xr3:uid="{00000000-0010-0000-0000-000007000000}" name="Sem 7" dataDxfId="34"/>
    <tableColumn id="8" xr3:uid="{00000000-0010-0000-0000-000008000000}" name="Sem 8" dataDxfId="33"/>
    <tableColumn id="9" xr3:uid="{00000000-0010-0000-0000-000009000000}" name="Sem 9" dataDxfId="32"/>
    <tableColumn id="10" xr3:uid="{00000000-0010-0000-0000-00000A000000}" name="Sem 10" dataDxfId="31"/>
    <tableColumn id="11" xr3:uid="{00000000-0010-0000-0000-00000B000000}" name="Sem 11" dataDxfId="30"/>
    <tableColumn id="12" xr3:uid="{00000000-0010-0000-0000-00000C000000}" name="Sem 12" dataDxfId="2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topLeftCell="B17" zoomScaleNormal="100" workbookViewId="0">
      <selection activeCell="C28" sqref="C28"/>
    </sheetView>
  </sheetViews>
  <sheetFormatPr baseColWidth="10" defaultColWidth="9.140625" defaultRowHeight="15" x14ac:dyDescent="0.25"/>
  <cols>
    <col min="2" max="2" width="60.85546875" customWidth="1"/>
    <col min="3" max="3" width="22.7109375" customWidth="1"/>
    <col min="4" max="4" width="16" customWidth="1"/>
    <col min="5" max="5" width="14.28515625" customWidth="1"/>
    <col min="6" max="6" width="14" customWidth="1"/>
    <col min="7" max="7" width="18.85546875" customWidth="1"/>
    <col min="8" max="8" width="14.85546875" customWidth="1"/>
    <col min="9" max="9" width="16.5703125" customWidth="1"/>
    <col min="10" max="10" width="18.28515625" customWidth="1"/>
    <col min="11" max="11" width="13.5703125" customWidth="1"/>
    <col min="12" max="12" width="13.42578125" customWidth="1"/>
    <col min="13" max="13" width="13" customWidth="1"/>
    <col min="14" max="14" width="15.5703125" customWidth="1"/>
    <col min="15" max="15" width="16.28515625" customWidth="1"/>
    <col min="17" max="17" width="10.28515625" bestFit="1" customWidth="1"/>
  </cols>
  <sheetData>
    <row r="1" spans="2:18" ht="15.75" x14ac:dyDescent="0.3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8" ht="15.75" x14ac:dyDescent="0.3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8" ht="15.75" x14ac:dyDescent="0.3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8" ht="21" x14ac:dyDescent="0.35">
      <c r="B4" s="10"/>
      <c r="C4" s="10"/>
      <c r="D4" s="12" t="s">
        <v>8</v>
      </c>
      <c r="F4" s="10"/>
      <c r="G4" s="10"/>
      <c r="H4" s="10"/>
      <c r="I4" s="10"/>
      <c r="J4" s="10"/>
      <c r="K4" s="10"/>
    </row>
    <row r="5" spans="2:18" ht="15.75" x14ac:dyDescent="0.3">
      <c r="B5" s="11"/>
      <c r="C5" s="11"/>
      <c r="D5" s="10"/>
      <c r="E5" s="10"/>
      <c r="F5" s="10"/>
      <c r="G5" s="10"/>
      <c r="H5" s="10"/>
      <c r="I5" s="10"/>
      <c r="J5" s="10"/>
      <c r="K5" s="10"/>
    </row>
    <row r="6" spans="2:18" ht="15" customHeight="1" x14ac:dyDescent="0.3">
      <c r="B6" s="10"/>
      <c r="C6" s="10"/>
      <c r="D6" s="10"/>
      <c r="E6" s="10"/>
      <c r="F6" s="10"/>
      <c r="G6" s="10"/>
      <c r="H6" s="10"/>
      <c r="I6" s="10"/>
      <c r="J6" s="10"/>
      <c r="K6" s="8"/>
      <c r="L6" s="15"/>
      <c r="M6" s="15"/>
      <c r="N6" s="70"/>
      <c r="O6" s="70"/>
      <c r="P6" s="8"/>
    </row>
    <row r="7" spans="2:18" ht="16.5" customHeight="1" x14ac:dyDescent="0.3">
      <c r="B7" s="10"/>
      <c r="C7" s="10"/>
      <c r="D7" s="10"/>
      <c r="E7" s="10"/>
      <c r="F7" s="10"/>
      <c r="G7" s="10"/>
      <c r="H7" s="10"/>
      <c r="I7" s="10"/>
      <c r="J7" s="10"/>
      <c r="K7" s="9"/>
      <c r="L7" s="16"/>
      <c r="M7" s="16"/>
      <c r="N7" s="71"/>
      <c r="O7" s="71"/>
      <c r="P7" s="9"/>
    </row>
    <row r="8" spans="2:18" ht="16.5" customHeight="1" x14ac:dyDescent="0.35">
      <c r="B8" s="72" t="s">
        <v>9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9"/>
    </row>
    <row r="9" spans="2:18" ht="16.5" customHeight="1" thickBot="1" x14ac:dyDescent="0.3">
      <c r="Q9" s="9"/>
    </row>
    <row r="10" spans="2:18" ht="16.5" customHeight="1" x14ac:dyDescent="0.25">
      <c r="B10" s="41" t="s">
        <v>10</v>
      </c>
      <c r="C10" s="42" t="s">
        <v>48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4"/>
      <c r="Q10" s="9"/>
    </row>
    <row r="11" spans="2:18" ht="16.5" customHeight="1" x14ac:dyDescent="0.25">
      <c r="B11" s="35" t="s">
        <v>11</v>
      </c>
      <c r="C11" s="18" t="s">
        <v>49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45"/>
      <c r="Q11" s="9"/>
    </row>
    <row r="12" spans="2:18" ht="16.5" customHeight="1" thickBot="1" x14ac:dyDescent="0.3">
      <c r="B12" s="36" t="s">
        <v>12</v>
      </c>
      <c r="C12" s="46" t="s">
        <v>50</v>
      </c>
      <c r="D12" s="47"/>
      <c r="E12" s="48" t="s">
        <v>13</v>
      </c>
      <c r="F12" s="49"/>
      <c r="G12" s="50" t="s">
        <v>51</v>
      </c>
      <c r="H12" s="51"/>
      <c r="I12" s="52"/>
      <c r="J12" s="48" t="s">
        <v>14</v>
      </c>
      <c r="K12" s="49"/>
      <c r="L12" s="46" t="s">
        <v>52</v>
      </c>
      <c r="M12" s="53"/>
      <c r="N12" s="54"/>
      <c r="O12" s="55"/>
      <c r="P12" s="9"/>
    </row>
    <row r="13" spans="2:18" ht="16.5" customHeight="1" x14ac:dyDescent="0.25"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9"/>
    </row>
    <row r="14" spans="2:18" ht="16.5" customHeight="1" x14ac:dyDescent="0.3"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6"/>
      <c r="M14" s="17"/>
      <c r="N14" s="71"/>
      <c r="O14" s="71"/>
      <c r="P14" s="9"/>
      <c r="Q14" s="3"/>
    </row>
    <row r="15" spans="2:18" ht="16.5" customHeight="1" thickBot="1" x14ac:dyDescent="0.35">
      <c r="B15" s="10"/>
      <c r="C15" s="10"/>
      <c r="D15" s="10"/>
      <c r="E15" s="10"/>
      <c r="F15" s="10"/>
      <c r="G15" s="10"/>
      <c r="H15" s="10"/>
      <c r="I15" s="10"/>
      <c r="J15" s="10"/>
      <c r="K15" s="9"/>
      <c r="L15" s="16"/>
      <c r="M15" s="17"/>
      <c r="N15" s="71"/>
      <c r="O15" s="71"/>
      <c r="P15" s="9"/>
      <c r="Q15" s="3"/>
    </row>
    <row r="16" spans="2:18" ht="16.5" customHeight="1" x14ac:dyDescent="0.25">
      <c r="B16" s="30"/>
      <c r="C16" s="31"/>
      <c r="D16" s="68" t="s">
        <v>35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9"/>
      <c r="P16" s="2"/>
      <c r="R16" s="3"/>
    </row>
    <row r="17" spans="2:15" ht="15" customHeight="1" x14ac:dyDescent="0.25">
      <c r="B17" s="32"/>
      <c r="C17" s="22"/>
      <c r="D17" s="23" t="s">
        <v>36</v>
      </c>
      <c r="E17" s="23" t="s">
        <v>37</v>
      </c>
      <c r="F17" s="23" t="s">
        <v>38</v>
      </c>
      <c r="G17" s="23" t="s">
        <v>39</v>
      </c>
      <c r="H17" s="23" t="s">
        <v>40</v>
      </c>
      <c r="I17" s="23" t="s">
        <v>41</v>
      </c>
      <c r="J17" s="23" t="s">
        <v>42</v>
      </c>
      <c r="K17" s="23" t="s">
        <v>43</v>
      </c>
      <c r="L17" s="23" t="s">
        <v>44</v>
      </c>
      <c r="M17" s="23" t="s">
        <v>45</v>
      </c>
      <c r="N17" s="23" t="s">
        <v>46</v>
      </c>
      <c r="O17" s="33" t="s">
        <v>47</v>
      </c>
    </row>
    <row r="18" spans="2:15" ht="15.75" hidden="1" customHeight="1" thickBot="1" x14ac:dyDescent="0.3">
      <c r="B18" s="34"/>
      <c r="D18" s="4">
        <v>1</v>
      </c>
      <c r="E18" s="5">
        <v>2</v>
      </c>
      <c r="F18" s="5">
        <v>3</v>
      </c>
      <c r="G18" s="5">
        <v>4</v>
      </c>
      <c r="H18" s="5">
        <v>5</v>
      </c>
      <c r="I18" s="5">
        <v>6</v>
      </c>
      <c r="J18" s="5">
        <v>7</v>
      </c>
      <c r="K18" s="5">
        <v>8</v>
      </c>
      <c r="L18" s="5">
        <v>9</v>
      </c>
      <c r="M18" s="5">
        <v>10</v>
      </c>
      <c r="N18" s="5">
        <v>11</v>
      </c>
      <c r="O18" s="6">
        <v>12</v>
      </c>
    </row>
    <row r="19" spans="2:15" ht="15" customHeight="1" x14ac:dyDescent="0.25">
      <c r="B19" s="35" t="s">
        <v>15</v>
      </c>
      <c r="C19" s="23"/>
      <c r="D19" s="58">
        <v>14000</v>
      </c>
      <c r="E19" s="59">
        <v>16000</v>
      </c>
      <c r="F19" s="59">
        <v>20000</v>
      </c>
      <c r="G19" s="59">
        <v>25000</v>
      </c>
      <c r="H19" s="59">
        <v>27000</v>
      </c>
      <c r="I19" s="59">
        <v>33000</v>
      </c>
      <c r="J19" s="59"/>
      <c r="K19" s="59"/>
      <c r="L19" s="59"/>
      <c r="M19" s="59"/>
      <c r="N19" s="60"/>
      <c r="O19" s="61"/>
    </row>
    <row r="20" spans="2:15" ht="15" customHeight="1" x14ac:dyDescent="0.25">
      <c r="B20" s="35" t="s">
        <v>16</v>
      </c>
      <c r="C20" s="23" t="s">
        <v>2</v>
      </c>
      <c r="D20" s="38">
        <v>14000</v>
      </c>
      <c r="E20" s="38">
        <v>30000</v>
      </c>
      <c r="F20" s="38">
        <f>E20+F19</f>
        <v>50000</v>
      </c>
      <c r="G20" s="38">
        <f>F20+G19</f>
        <v>75000</v>
      </c>
      <c r="H20" s="38">
        <f t="shared" ref="H20:I20" si="0">G20+H19</f>
        <v>102000</v>
      </c>
      <c r="I20" s="74">
        <f t="shared" si="0"/>
        <v>135000</v>
      </c>
      <c r="J20" s="38"/>
      <c r="K20" s="38"/>
      <c r="L20" s="38"/>
      <c r="M20" s="38"/>
      <c r="N20" s="38"/>
      <c r="O20" s="39"/>
    </row>
    <row r="21" spans="2:15" ht="15" customHeight="1" x14ac:dyDescent="0.25">
      <c r="B21" s="35" t="s">
        <v>17</v>
      </c>
      <c r="C21" s="23"/>
      <c r="D21" s="62">
        <v>13294</v>
      </c>
      <c r="E21" s="62">
        <v>14954.5</v>
      </c>
      <c r="F21" s="62">
        <v>18125</v>
      </c>
      <c r="G21" s="62">
        <v>24635.5</v>
      </c>
      <c r="H21" s="62">
        <v>25810</v>
      </c>
      <c r="I21" s="73">
        <v>31885.5</v>
      </c>
      <c r="J21" s="62"/>
      <c r="K21" s="62"/>
      <c r="L21" s="62"/>
      <c r="M21" s="62"/>
      <c r="N21" s="62"/>
      <c r="O21" s="63"/>
    </row>
    <row r="22" spans="2:15" x14ac:dyDescent="0.25">
      <c r="B22" s="35" t="s">
        <v>18</v>
      </c>
      <c r="C22" s="23" t="s">
        <v>3</v>
      </c>
      <c r="D22" s="38">
        <f>D21</f>
        <v>13294</v>
      </c>
      <c r="E22" s="38">
        <f>D21+E21</f>
        <v>28248.5</v>
      </c>
      <c r="F22" s="38">
        <f>E22+F21</f>
        <v>46373.5</v>
      </c>
      <c r="G22" s="38">
        <f>F22+G21</f>
        <v>71009</v>
      </c>
      <c r="H22" s="38">
        <f t="shared" ref="H22:I22" si="1">G22+H21</f>
        <v>96819</v>
      </c>
      <c r="I22" s="74">
        <f t="shared" si="1"/>
        <v>128704.5</v>
      </c>
      <c r="J22" s="38"/>
      <c r="K22" s="38"/>
      <c r="L22" s="38"/>
      <c r="M22" s="38"/>
      <c r="N22" s="38"/>
      <c r="O22" s="38"/>
    </row>
    <row r="23" spans="2:15" x14ac:dyDescent="0.25">
      <c r="B23" s="35" t="s">
        <v>22</v>
      </c>
      <c r="C23" s="23" t="s">
        <v>23</v>
      </c>
      <c r="D23" s="64">
        <v>0.94</v>
      </c>
      <c r="E23" s="65">
        <v>0.94</v>
      </c>
      <c r="F23" s="66">
        <v>0.92</v>
      </c>
      <c r="G23" s="66">
        <v>0.94669999999999999</v>
      </c>
      <c r="H23" s="66">
        <v>0.94920000000000004</v>
      </c>
      <c r="I23" s="66">
        <v>0.95330000000000004</v>
      </c>
      <c r="J23" s="66"/>
      <c r="K23" s="66"/>
      <c r="L23" s="66"/>
      <c r="M23" s="66"/>
      <c r="N23" s="66"/>
      <c r="O23" s="67"/>
    </row>
    <row r="24" spans="2:15" x14ac:dyDescent="0.25">
      <c r="B24" s="35" t="s">
        <v>1</v>
      </c>
      <c r="C24" s="23"/>
      <c r="D24" s="38">
        <f>D23*$C$27</f>
        <v>282000</v>
      </c>
      <c r="E24" s="38">
        <f>E23*$C$27</f>
        <v>282000</v>
      </c>
      <c r="F24" s="38">
        <f t="shared" ref="F24:I24" si="2">F23*$C$27</f>
        <v>276000</v>
      </c>
      <c r="G24" s="38">
        <f t="shared" si="2"/>
        <v>284010</v>
      </c>
      <c r="H24" s="38">
        <f t="shared" si="2"/>
        <v>284760</v>
      </c>
      <c r="I24" s="74">
        <f t="shared" si="2"/>
        <v>285990</v>
      </c>
      <c r="J24" s="38"/>
      <c r="K24" s="38"/>
      <c r="L24" s="38"/>
      <c r="M24" s="38"/>
      <c r="N24" s="38"/>
      <c r="O24" s="38"/>
    </row>
    <row r="25" spans="2:15" ht="15.75" thickBot="1" x14ac:dyDescent="0.3">
      <c r="B25" s="36" t="s">
        <v>5</v>
      </c>
      <c r="C25" s="37" t="s">
        <v>4</v>
      </c>
      <c r="D25" s="38">
        <f>D24</f>
        <v>282000</v>
      </c>
      <c r="E25" s="38">
        <f>D24+E24</f>
        <v>564000</v>
      </c>
      <c r="F25" s="38">
        <f>E25+F24</f>
        <v>840000</v>
      </c>
      <c r="G25" s="38">
        <f>F25+G24</f>
        <v>1124010</v>
      </c>
      <c r="H25" s="38">
        <f t="shared" ref="H25:I25" si="3">G25+H24</f>
        <v>1408770</v>
      </c>
      <c r="I25" s="74">
        <f t="shared" si="3"/>
        <v>1694760</v>
      </c>
      <c r="J25" s="38"/>
      <c r="K25" s="38"/>
      <c r="L25" s="38"/>
      <c r="M25" s="38"/>
      <c r="N25" s="38"/>
      <c r="O25" s="38"/>
    </row>
    <row r="26" spans="2:15" ht="16.5" thickBot="1" x14ac:dyDescent="0.3">
      <c r="D26" s="1" t="s">
        <v>0</v>
      </c>
    </row>
    <row r="27" spans="2:15" ht="16.5" thickBot="1" x14ac:dyDescent="0.3">
      <c r="B27" s="29" t="s">
        <v>7</v>
      </c>
      <c r="C27" s="57">
        <v>300000</v>
      </c>
      <c r="D27" s="1"/>
    </row>
    <row r="28" spans="2:15" ht="16.5" thickBot="1" x14ac:dyDescent="0.3">
      <c r="C28" s="13"/>
      <c r="D28" s="1"/>
    </row>
    <row r="29" spans="2:15" x14ac:dyDescent="0.25">
      <c r="B29" s="25" t="s">
        <v>19</v>
      </c>
      <c r="C29" s="26" t="s">
        <v>6</v>
      </c>
    </row>
    <row r="30" spans="2:15" ht="18.75" customHeight="1" x14ac:dyDescent="0.25">
      <c r="B30" s="24" t="s">
        <v>20</v>
      </c>
      <c r="C30" s="38">
        <f>I25-I22</f>
        <v>1566055.5</v>
      </c>
      <c r="D30" s="7"/>
      <c r="E30" s="7"/>
    </row>
    <row r="31" spans="2:15" ht="30.75" customHeight="1" x14ac:dyDescent="0.25">
      <c r="B31" s="24" t="s">
        <v>32</v>
      </c>
      <c r="C31" s="40">
        <f>I25-I20</f>
        <v>1559760</v>
      </c>
    </row>
    <row r="32" spans="2:15" ht="33" customHeight="1" x14ac:dyDescent="0.25">
      <c r="B32" s="24" t="s">
        <v>33</v>
      </c>
      <c r="C32" s="14">
        <f>I25/I22</f>
        <v>13.167837954383879</v>
      </c>
    </row>
    <row r="33" spans="2:3" ht="36" customHeight="1" x14ac:dyDescent="0.25">
      <c r="B33" s="24" t="s">
        <v>21</v>
      </c>
      <c r="C33" s="14">
        <f>I25/I20</f>
        <v>12.553777777777778</v>
      </c>
    </row>
    <row r="34" spans="2:3" ht="35.25" customHeight="1" thickBot="1" x14ac:dyDescent="0.3">
      <c r="B34" s="27" t="s">
        <v>34</v>
      </c>
      <c r="C34" s="28">
        <f>C27/C32</f>
        <v>22782.783402959711</v>
      </c>
    </row>
    <row r="37" spans="2:3" x14ac:dyDescent="0.25">
      <c r="B37" s="56" t="s">
        <v>25</v>
      </c>
    </row>
    <row r="38" spans="2:3" x14ac:dyDescent="0.25">
      <c r="B38" s="56" t="s">
        <v>24</v>
      </c>
    </row>
    <row r="39" spans="2:3" x14ac:dyDescent="0.25">
      <c r="B39" s="56"/>
    </row>
    <row r="40" spans="2:3" x14ac:dyDescent="0.25">
      <c r="B40" s="56" t="s">
        <v>26</v>
      </c>
    </row>
    <row r="41" spans="2:3" x14ac:dyDescent="0.25">
      <c r="B41" s="56" t="s">
        <v>27</v>
      </c>
    </row>
    <row r="42" spans="2:3" x14ac:dyDescent="0.25">
      <c r="B42" s="56"/>
    </row>
    <row r="43" spans="2:3" x14ac:dyDescent="0.25">
      <c r="B43" s="56" t="s">
        <v>28</v>
      </c>
    </row>
    <row r="44" spans="2:3" x14ac:dyDescent="0.25">
      <c r="B44" s="56" t="s">
        <v>29</v>
      </c>
    </row>
    <row r="45" spans="2:3" x14ac:dyDescent="0.25">
      <c r="B45" s="56"/>
    </row>
    <row r="46" spans="2:3" x14ac:dyDescent="0.25">
      <c r="B46" s="56" t="s">
        <v>30</v>
      </c>
    </row>
    <row r="47" spans="2:3" x14ac:dyDescent="0.25">
      <c r="B47" s="56" t="s">
        <v>31</v>
      </c>
    </row>
  </sheetData>
  <mergeCells count="6">
    <mergeCell ref="D16:O16"/>
    <mergeCell ref="N6:O6"/>
    <mergeCell ref="N7:O7"/>
    <mergeCell ref="N14:O14"/>
    <mergeCell ref="N15:O15"/>
    <mergeCell ref="B8:O8"/>
  </mergeCells>
  <conditionalFormatting sqref="C30:C31">
    <cfRule type="expression" dxfId="28" priority="5">
      <formula>IF(ROUND(($N$14-$N$7)/30,0)=1,1,0)</formula>
    </cfRule>
  </conditionalFormatting>
  <conditionalFormatting sqref="D18:D25 E24:H24 J24:O24">
    <cfRule type="expression" dxfId="27" priority="9">
      <formula>IF(ROUND(($N$14-$N$7)/30,0)=1,1,0)</formula>
    </cfRule>
  </conditionalFormatting>
  <conditionalFormatting sqref="E18:E23">
    <cfRule type="expression" dxfId="26" priority="30">
      <formula>IF(ROUND(($N$14-$N$7)/30,0)=2,1,0)</formula>
    </cfRule>
  </conditionalFormatting>
  <conditionalFormatting sqref="E25">
    <cfRule type="expression" dxfId="25" priority="14">
      <formula>IF(ROUND(($N$14-$N$7)/30,0)=2,1,0)</formula>
    </cfRule>
  </conditionalFormatting>
  <conditionalFormatting sqref="F18:F23">
    <cfRule type="expression" dxfId="24" priority="28">
      <formula>IF(ROUND(($N$14-$N$7)/30,0)=3,1,0)</formula>
    </cfRule>
  </conditionalFormatting>
  <conditionalFormatting sqref="F25">
    <cfRule type="expression" dxfId="23" priority="13">
      <formula>IF(ROUND(($N$14-$N$7)/30,0)=3,1,0)</formula>
    </cfRule>
  </conditionalFormatting>
  <conditionalFormatting sqref="G18:G23">
    <cfRule type="expression" dxfId="22" priority="27">
      <formula>IF(ROUND(($N$14-$N$7)/30,0)=4,1,0)</formula>
    </cfRule>
  </conditionalFormatting>
  <conditionalFormatting sqref="G25">
    <cfRule type="expression" dxfId="21" priority="12">
      <formula>IF(ROUND(($N$14-$N$7)/30,0)=4,1,0)</formula>
    </cfRule>
  </conditionalFormatting>
  <conditionalFormatting sqref="H18:H23">
    <cfRule type="expression" dxfId="20" priority="26">
      <formula>IF(ROUND(($N$14-$N$7)/30,0)=5,1,0)</formula>
    </cfRule>
  </conditionalFormatting>
  <conditionalFormatting sqref="H25">
    <cfRule type="expression" dxfId="19" priority="11">
      <formula>IF(ROUND(($N$14-$N$7)/30,0)=5,1,0)</formula>
    </cfRule>
  </conditionalFormatting>
  <conditionalFormatting sqref="I18">
    <cfRule type="expression" dxfId="18" priority="25">
      <formula>IF(ROUND(($N$14-$N$7)/30,0)=6,1,0)</formula>
    </cfRule>
  </conditionalFormatting>
  <conditionalFormatting sqref="J18:J23">
    <cfRule type="expression" dxfId="16" priority="24">
      <formula>IF(ROUND(($N$14-$N$7)/30,0)=7,1,0)</formula>
    </cfRule>
  </conditionalFormatting>
  <conditionalFormatting sqref="K18:K21">
    <cfRule type="expression" dxfId="15" priority="35">
      <formula>IF(ROUND(($N$14-$N$7)/30,0)=8,1,0)</formula>
    </cfRule>
  </conditionalFormatting>
  <conditionalFormatting sqref="K23">
    <cfRule type="expression" dxfId="14" priority="51">
      <formula>IF(ROUND(($N$14-$N$7)/30,0)=8,1,0)</formula>
    </cfRule>
  </conditionalFormatting>
  <conditionalFormatting sqref="K22:O22">
    <cfRule type="expression" dxfId="13" priority="7">
      <formula>IF(ROUND(($N$14-$N$7)/30,0)=7,1,0)</formula>
    </cfRule>
  </conditionalFormatting>
  <conditionalFormatting sqref="K25:O25">
    <cfRule type="expression" dxfId="12" priority="8">
      <formula>IF(ROUND(($N$14-$N$7)/30,0)=7,1,0)</formula>
    </cfRule>
  </conditionalFormatting>
  <conditionalFormatting sqref="L18:L21">
    <cfRule type="expression" dxfId="11" priority="34">
      <formula>IF(ROUND(($N$14-$N$7)/30,0)=9,1,0)</formula>
    </cfRule>
  </conditionalFormatting>
  <conditionalFormatting sqref="L23">
    <cfRule type="expression" dxfId="10" priority="52">
      <formula>IF(ROUND(($N$14-$N$7)/30,0)=9,1,0)</formula>
    </cfRule>
  </conditionalFormatting>
  <conditionalFormatting sqref="M18:M21">
    <cfRule type="expression" dxfId="9" priority="33">
      <formula>IF(ROUND(($N$14-$N$7)/30,0)=10,1,0)</formula>
    </cfRule>
  </conditionalFormatting>
  <conditionalFormatting sqref="M23">
    <cfRule type="expression" dxfId="8" priority="53">
      <formula>IF(ROUND(($N$14-$N$7)/30,0)=10,1,0)</formula>
    </cfRule>
  </conditionalFormatting>
  <conditionalFormatting sqref="N6:N7 N9:N11 M12 N13:N15">
    <cfRule type="expression" dxfId="7" priority="46">
      <formula>IF(ROUND(($N$14-$N$7)/30,0)=3,1,0)</formula>
    </cfRule>
  </conditionalFormatting>
  <conditionalFormatting sqref="N18:N21">
    <cfRule type="expression" dxfId="6" priority="32">
      <formula>IF(ROUND(($N$14-$N$7)/30,0)=11,1,0)</formula>
    </cfRule>
  </conditionalFormatting>
  <conditionalFormatting sqref="N23">
    <cfRule type="expression" dxfId="5" priority="54">
      <formula>IF(ROUND(($N$14-$N$7)/30,0)=11,1,0)</formula>
    </cfRule>
  </conditionalFormatting>
  <conditionalFormatting sqref="O18:O21 O23">
    <cfRule type="expression" dxfId="4" priority="55">
      <formula>IF(ROUND(($N$14-$N$7)/30,0)=12,1,0)</formula>
    </cfRule>
  </conditionalFormatting>
  <conditionalFormatting sqref="I19">
    <cfRule type="expression" dxfId="3" priority="4">
      <formula>IF(ROUND(($N$14-$N$7)/30,0)=6,1,0)</formula>
    </cfRule>
  </conditionalFormatting>
  <conditionalFormatting sqref="I24">
    <cfRule type="expression" dxfId="2" priority="1">
      <formula>IF(ROUND(($N$14-$N$7)/30,0)=1,1,0)</formula>
    </cfRule>
  </conditionalFormatting>
  <conditionalFormatting sqref="I20:I23">
    <cfRule type="expression" dxfId="1" priority="3">
      <formula>IF(ROUND(($N$14-$N$7)/30,0)=6,1,0)</formula>
    </cfRule>
  </conditionalFormatting>
  <conditionalFormatting sqref="I25">
    <cfRule type="expression" dxfId="0" priority="2">
      <formula>IF(ROUND(($N$14-$N$7)/30,0)=6,1,0)</formula>
    </cfRule>
  </conditionalFormatting>
  <pageMargins left="0.7" right="0.7" top="0.75" bottom="0.75" header="0.3" footer="0.3"/>
  <pageSetup scale="49" orientation="portrait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Valor ganado</vt:lpstr>
    </vt:vector>
  </TitlesOfParts>
  <Company>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Cupa</dc:creator>
  <cp:lastModifiedBy>Kimberly Bernal</cp:lastModifiedBy>
  <cp:lastPrinted>2012-05-23T16:28:30Z</cp:lastPrinted>
  <dcterms:created xsi:type="dcterms:W3CDTF">2011-05-27T04:00:15Z</dcterms:created>
  <dcterms:modified xsi:type="dcterms:W3CDTF">2026-04-28T00:55:03Z</dcterms:modified>
</cp:coreProperties>
</file>