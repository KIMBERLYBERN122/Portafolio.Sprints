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csa\OneDrive\Escritorio\SPRINT 1\"/>
    </mc:Choice>
  </mc:AlternateContent>
  <xr:revisionPtr revIDLastSave="0" documentId="13_ncr:1_{FB5551B3-0066-42F0-89AE-8B16790ADD4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etalle de Costos" sheetId="11" r:id="rId1"/>
    <sheet name="Plantilla Curva S" sheetId="4" r:id="rId2"/>
    <sheet name="Ejemplo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1" i="11" l="1"/>
  <c r="C31" i="11"/>
  <c r="E15" i="4"/>
  <c r="D15" i="4"/>
  <c r="D1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W31" i="11"/>
  <c r="AX31" i="11"/>
  <c r="AY31" i="11"/>
  <c r="AZ31" i="11"/>
  <c r="BA31" i="11"/>
  <c r="BB31" i="11"/>
  <c r="BC31" i="11"/>
  <c r="BD31" i="11"/>
  <c r="BE31" i="11"/>
  <c r="BF31" i="11"/>
  <c r="BG31" i="11"/>
  <c r="BH31" i="11"/>
  <c r="BI31" i="11"/>
  <c r="BJ31" i="11"/>
  <c r="D12" i="11" l="1"/>
  <c r="I31" i="11"/>
  <c r="O31" i="11"/>
  <c r="D18" i="9"/>
  <c r="E18" i="9" s="1"/>
  <c r="F18" i="9" s="1"/>
  <c r="G18" i="9" s="1"/>
  <c r="H18" i="9" s="1"/>
  <c r="I18" i="9" s="1"/>
  <c r="J18" i="9" s="1"/>
  <c r="D16" i="9"/>
  <c r="E16" i="9" s="1"/>
  <c r="F16" i="9" s="1"/>
  <c r="G16" i="9" s="1"/>
  <c r="H16" i="9" s="1"/>
  <c r="I16" i="9" s="1"/>
  <c r="J16" i="9" s="1"/>
  <c r="K16" i="9" s="1"/>
  <c r="L16" i="9" s="1"/>
  <c r="M16" i="9" s="1"/>
  <c r="N16" i="9" s="1"/>
  <c r="O16" i="9" s="1"/>
  <c r="K31" i="11" l="1"/>
  <c r="J31" i="11"/>
  <c r="N31" i="11"/>
  <c r="M31" i="11"/>
  <c r="L31" i="11"/>
  <c r="H31" i="11"/>
  <c r="E17" i="4"/>
  <c r="D16" i="4"/>
  <c r="E16" i="4" l="1"/>
  <c r="C11" i="11" l="1"/>
  <c r="C12" i="11"/>
  <c r="D17" i="4" l="1"/>
  <c r="D18" i="4" s="1"/>
  <c r="E18" i="4" s="1"/>
</calcChain>
</file>

<file path=xl/sharedStrings.xml><?xml version="1.0" encoding="utf-8"?>
<sst xmlns="http://schemas.openxmlformats.org/spreadsheetml/2006/main" count="74" uniqueCount="55">
  <si>
    <t>Valor Planificado</t>
  </si>
  <si>
    <t>Costo Real</t>
  </si>
  <si>
    <t>Proyecto:</t>
  </si>
  <si>
    <t>ID:</t>
  </si>
  <si>
    <t>Fecha de Corte:</t>
  </si>
  <si>
    <t>Año 2012</t>
  </si>
  <si>
    <t>Fecha de Inicio</t>
  </si>
  <si>
    <t>Fecha Fin:</t>
  </si>
  <si>
    <t>Valor Planificado Acumulado</t>
  </si>
  <si>
    <t>Costo Real Acumulado</t>
  </si>
  <si>
    <t>Curva S de Recursos</t>
  </si>
  <si>
    <t>Nombre del Proyecto</t>
  </si>
  <si>
    <t>Fecha estimada de fin del proyecto.</t>
  </si>
  <si>
    <t>Fecha a la cual se reporta el costo real.</t>
  </si>
  <si>
    <t>HT2011-12</t>
  </si>
  <si>
    <t>Apoyo Educativo</t>
  </si>
  <si>
    <t>1.1.1.1</t>
  </si>
  <si>
    <t>2.1.1.1</t>
  </si>
  <si>
    <t>Código</t>
  </si>
  <si>
    <t>Costos por paquete de trabajo</t>
  </si>
  <si>
    <t>Paquete de Trabajo</t>
  </si>
  <si>
    <t>1.1.1.2</t>
  </si>
  <si>
    <t>1.1.1.3</t>
  </si>
  <si>
    <t>Componente 1</t>
  </si>
  <si>
    <t>Componente 2</t>
  </si>
  <si>
    <t>2.1.1.2</t>
  </si>
  <si>
    <t>2.1.1.3</t>
  </si>
  <si>
    <t>2.1.2.1</t>
  </si>
  <si>
    <t>Componente 3</t>
  </si>
  <si>
    <t>TOTAL</t>
  </si>
  <si>
    <t>Trimestre</t>
  </si>
  <si>
    <t>Revision de variables</t>
  </si>
  <si>
    <t>Validacion de formatos y consistencia</t>
  </si>
  <si>
    <t>Documentacion tecnica del dataset</t>
  </si>
  <si>
    <t>Calculo de ingresos acumulados</t>
  </si>
  <si>
    <t>Clasificacion A,B y C</t>
  </si>
  <si>
    <t>Identificacion de productos mas rentables</t>
  </si>
  <si>
    <t>Productos de bajo desempeño</t>
  </si>
  <si>
    <t>Analisis historico de demanda</t>
  </si>
  <si>
    <t>Forecasting a corto plazo</t>
  </si>
  <si>
    <t>Forecasting a largo plazo</t>
  </si>
  <si>
    <t>Componente 4</t>
  </si>
  <si>
    <t>Componente 5</t>
  </si>
  <si>
    <t>2.1.1.4</t>
  </si>
  <si>
    <t>2.1.1.5</t>
  </si>
  <si>
    <t>Clasificacion estrategica</t>
  </si>
  <si>
    <t>Visualizacion grafica BCG</t>
  </si>
  <si>
    <t>Estrategia de inversion en marketing</t>
  </si>
  <si>
    <t>Recomendaciones de pricing</t>
  </si>
  <si>
    <t>Evaluacion impacto financiero</t>
  </si>
  <si>
    <t>Analisis de riesgos</t>
  </si>
  <si>
    <t>Plan de descontinuacion</t>
  </si>
  <si>
    <t>Semana</t>
  </si>
  <si>
    <t>Analisis de Portafolio de Productos</t>
  </si>
  <si>
    <t>APP-EST-015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</si>
</sst>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_-&quot;$&quot;* #,##0_-;\-&quot;$&quot;* #,##0_-;_-&quot;$&quot;* &quot;-&quot;??_-;_-@_-"/>
    <numFmt numFmtId="166" formatCode="_-* #,##0.0000_-;\-* #,##0.00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8"/>
      <name val="Calibri"/>
      <family val="2"/>
      <scheme val="minor"/>
    </font>
    <font>
      <b/>
      <sz val="11"/>
      <color theme="1"/>
      <name val="Corbel"/>
      <family val="2"/>
    </font>
    <font>
      <b/>
      <sz val="10"/>
      <color rgb="FFFF0000"/>
      <name val="Corbe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7">
    <xf numFmtId="0" fontId="0" fillId="0" borderId="0" xfId="0"/>
    <xf numFmtId="44" fontId="0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9" xfId="0" applyBorder="1" applyAlignment="1">
      <alignment horizontal="left"/>
    </xf>
    <xf numFmtId="44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165" fontId="0" fillId="0" borderId="1" xfId="1" applyNumberFormat="1" applyFont="1" applyBorder="1"/>
    <xf numFmtId="165" fontId="0" fillId="0" borderId="13" xfId="1" applyNumberFormat="1" applyFont="1" applyBorder="1"/>
    <xf numFmtId="0" fontId="0" fillId="4" borderId="0" xfId="0" applyFill="1"/>
    <xf numFmtId="0" fontId="4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4" fontId="7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top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10" fillId="0" borderId="16" xfId="0" applyFont="1" applyBorder="1" applyAlignment="1" applyProtection="1">
      <alignment vertical="top"/>
      <protection locked="0"/>
    </xf>
    <xf numFmtId="0" fontId="8" fillId="5" borderId="15" xfId="0" applyFont="1" applyFill="1" applyBorder="1" applyAlignment="1" applyProtection="1">
      <alignment horizontal="center" vertical="top"/>
      <protection locked="0"/>
    </xf>
    <xf numFmtId="164" fontId="9" fillId="5" borderId="16" xfId="3" applyFont="1" applyFill="1" applyBorder="1" applyAlignment="1" applyProtection="1">
      <alignment vertical="top"/>
      <protection locked="0"/>
    </xf>
    <xf numFmtId="0" fontId="9" fillId="5" borderId="16" xfId="3" applyNumberFormat="1" applyFont="1" applyFill="1" applyBorder="1" applyAlignment="1" applyProtection="1">
      <alignment horizontal="center" vertical="top"/>
      <protection locked="0"/>
    </xf>
    <xf numFmtId="0" fontId="12" fillId="6" borderId="0" xfId="0" applyFont="1" applyFill="1" applyAlignment="1" applyProtection="1">
      <alignment horizontal="center"/>
      <protection locked="0"/>
    </xf>
    <xf numFmtId="164" fontId="4" fillId="6" borderId="1" xfId="3" applyFont="1" applyFill="1" applyBorder="1" applyProtection="1">
      <protection locked="0"/>
    </xf>
    <xf numFmtId="164" fontId="10" fillId="0" borderId="16" xfId="3" applyFont="1" applyBorder="1" applyAlignment="1" applyProtection="1">
      <alignment vertical="top"/>
      <protection locked="0"/>
    </xf>
    <xf numFmtId="164" fontId="4" fillId="4" borderId="0" xfId="0" applyNumberFormat="1" applyFont="1" applyFill="1" applyProtection="1">
      <protection locked="0"/>
    </xf>
    <xf numFmtId="164" fontId="10" fillId="3" borderId="16" xfId="3" applyFont="1" applyFill="1" applyBorder="1" applyAlignment="1" applyProtection="1">
      <alignment vertical="top"/>
      <protection locked="0"/>
    </xf>
    <xf numFmtId="44" fontId="13" fillId="5" borderId="16" xfId="1" applyFont="1" applyFill="1" applyBorder="1" applyAlignment="1" applyProtection="1">
      <alignment horizontal="center" vertical="top"/>
      <protection locked="0"/>
    </xf>
    <xf numFmtId="43" fontId="4" fillId="4" borderId="0" xfId="0" applyNumberFormat="1" applyFont="1" applyFill="1" applyProtection="1">
      <protection locked="0"/>
    </xf>
    <xf numFmtId="44" fontId="10" fillId="0" borderId="16" xfId="1" applyFont="1" applyBorder="1" applyAlignment="1" applyProtection="1">
      <alignment horizontal="center" vertical="top"/>
      <protection locked="0"/>
    </xf>
    <xf numFmtId="44" fontId="10" fillId="0" borderId="16" xfId="1" applyFont="1" applyBorder="1" applyAlignment="1" applyProtection="1">
      <alignment horizontal="center" vertical="top" wrapText="1"/>
      <protection locked="0"/>
    </xf>
    <xf numFmtId="44" fontId="10" fillId="0" borderId="16" xfId="1" applyFont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horizontal="right" vertical="top"/>
      <protection locked="0"/>
    </xf>
    <xf numFmtId="44" fontId="4" fillId="6" borderId="1" xfId="1" applyFont="1" applyFill="1" applyBorder="1" applyProtection="1">
      <protection locked="0"/>
    </xf>
    <xf numFmtId="166" fontId="4" fillId="4" borderId="0" xfId="0" applyNumberFormat="1" applyFont="1" applyFill="1" applyProtection="1">
      <protection locked="0"/>
    </xf>
    <xf numFmtId="44" fontId="4" fillId="4" borderId="0" xfId="0" applyNumberFormat="1" applyFont="1" applyFill="1" applyProtection="1">
      <protection locked="0"/>
    </xf>
    <xf numFmtId="0" fontId="9" fillId="5" borderId="17" xfId="0" applyFont="1" applyFill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Alignment="1" applyProtection="1">
      <alignment horizontal="center" vertical="center"/>
      <protection locked="0"/>
    </xf>
    <xf numFmtId="0" fontId="9" fillId="5" borderId="17" xfId="0" applyFont="1" applyFill="1" applyBorder="1" applyAlignment="1" applyProtection="1">
      <alignment horizontal="right" vertical="center"/>
      <protection locked="0"/>
    </xf>
    <xf numFmtId="0" fontId="9" fillId="5" borderId="18" xfId="0" applyFont="1" applyFill="1" applyBorder="1" applyAlignment="1" applyProtection="1">
      <alignment horizontal="right" vertical="center"/>
      <protection locked="0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0" fillId="0" borderId="13" xfId="0" applyBorder="1" applyAlignment="1">
      <alignment horizontal="center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'Plantilla Curva S'!$C$16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S'!$D$16:$O$16</c:f>
              <c:numCache>
                <c:formatCode>_("$"* #,##0.00_);_("$"* \(#,##0.00\);_("$"* "-"??_);_(@_)</c:formatCode>
                <c:ptCount val="12"/>
                <c:pt idx="0">
                  <c:v>14000</c:v>
                </c:pt>
                <c:pt idx="1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E-4092-A810-F1B32C16C439}"/>
            </c:ext>
          </c:extLst>
        </c:ser>
        <c:ser>
          <c:idx val="3"/>
          <c:order val="1"/>
          <c:tx>
            <c:strRef>
              <c:f>'Plantilla Curva S'!$C$18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S'!$D$18:$O$18</c:f>
              <c:numCache>
                <c:formatCode>_("$"* #,##0.00_);_("$"* \(#,##0.00\);_("$"* "-"??_);_(@_)</c:formatCode>
                <c:ptCount val="12"/>
                <c:pt idx="0">
                  <c:v>3800</c:v>
                </c:pt>
                <c:pt idx="1">
                  <c:v>8156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E-4092-A810-F1B32C16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71456"/>
        <c:axId val="193172992"/>
      </c:lineChart>
      <c:catAx>
        <c:axId val="19317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172992"/>
        <c:crosses val="autoZero"/>
        <c:auto val="1"/>
        <c:lblAlgn val="ctr"/>
        <c:lblOffset val="100"/>
        <c:noMultiLvlLbl val="0"/>
      </c:catAx>
      <c:valAx>
        <c:axId val="19317299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931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Ejemplo!$C$16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Ejemplo!$D$14:$O$14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Ejemplo!$D$16:$O$16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60000</c:v>
                </c:pt>
                <c:pt idx="2">
                  <c:v>120000</c:v>
                </c:pt>
                <c:pt idx="3">
                  <c:v>200000</c:v>
                </c:pt>
                <c:pt idx="4">
                  <c:v>320000</c:v>
                </c:pt>
                <c:pt idx="5">
                  <c:v>460000</c:v>
                </c:pt>
                <c:pt idx="6">
                  <c:v>620000</c:v>
                </c:pt>
                <c:pt idx="7">
                  <c:v>800000</c:v>
                </c:pt>
                <c:pt idx="8">
                  <c:v>980000</c:v>
                </c:pt>
                <c:pt idx="9">
                  <c:v>1100000</c:v>
                </c:pt>
                <c:pt idx="10">
                  <c:v>1180000</c:v>
                </c:pt>
                <c:pt idx="11">
                  <c:v>1220000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87-437D-8FD2-1C88788F654F}"/>
            </c:ext>
          </c:extLst>
        </c:ser>
        <c:ser>
          <c:idx val="3"/>
          <c:order val="1"/>
          <c:tx>
            <c:strRef>
              <c:f>Ejemplo!$C$18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Ejemplo!$D$14:$O$14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Ejemplo!$D$18:$O$18</c:f>
              <c:numCache>
                <c:formatCode>_-"$"* #,##0_-;\-"$"* #,##0_-;_-"$"* "-"??_-;_-@_-</c:formatCode>
                <c:ptCount val="12"/>
                <c:pt idx="0">
                  <c:v>20000</c:v>
                </c:pt>
                <c:pt idx="1">
                  <c:v>40000</c:v>
                </c:pt>
                <c:pt idx="2">
                  <c:v>80000</c:v>
                </c:pt>
                <c:pt idx="3">
                  <c:v>140000</c:v>
                </c:pt>
                <c:pt idx="4">
                  <c:v>220000</c:v>
                </c:pt>
                <c:pt idx="5">
                  <c:v>320000</c:v>
                </c:pt>
                <c:pt idx="6">
                  <c:v>470000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87-437D-8FD2-1C88788F6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11808"/>
        <c:axId val="194196224"/>
      </c:lineChart>
      <c:catAx>
        <c:axId val="193911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4196224"/>
        <c:crosses val="autoZero"/>
        <c:auto val="1"/>
        <c:lblAlgn val="ctr"/>
        <c:lblOffset val="100"/>
        <c:noMultiLvlLbl val="0"/>
      </c:catAx>
      <c:valAx>
        <c:axId val="194196224"/>
        <c:scaling>
          <c:orientation val="minMax"/>
        </c:scaling>
        <c:delete val="0"/>
        <c:axPos val="l"/>
        <c:majorGridlines/>
        <c:numFmt formatCode="_-&quot;$&quot;* #,##0_-;\-&quot;$&quot;* #,##0_-;_-&quot;$&quot;* &quot;-&quot;??_-;_-@_-" sourceLinked="1"/>
        <c:majorTickMark val="out"/>
        <c:minorTickMark val="none"/>
        <c:tickLblPos val="nextTo"/>
        <c:crossAx val="193911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388621</xdr:colOff>
      <xdr:row>0</xdr:row>
      <xdr:rowOff>0</xdr:rowOff>
    </xdr:from>
    <xdr:to>
      <xdr:col>1</xdr:col>
      <xdr:colOff>723901</xdr:colOff>
      <xdr:row>4</xdr:row>
      <xdr:rowOff>88027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0"/>
          <a:ext cx="876300" cy="90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304802</xdr:colOff>
      <xdr:row>1</xdr:row>
      <xdr:rowOff>67734</xdr:rowOff>
    </xdr:from>
    <xdr:to>
      <xdr:col>2</xdr:col>
      <xdr:colOff>1134533</xdr:colOff>
      <xdr:row>5</xdr:row>
      <xdr:rowOff>161013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2" y="262467"/>
          <a:ext cx="829731" cy="8468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793750</xdr:colOff>
      <xdr:row>18</xdr:row>
      <xdr:rowOff>57150</xdr:rowOff>
    </xdr:from>
    <xdr:to>
      <xdr:col>13</xdr:col>
      <xdr:colOff>568325</xdr:colOff>
      <xdr:row>42</xdr:row>
      <xdr:rowOff>25400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1079500</xdr:colOff>
      <xdr:row>1</xdr:row>
      <xdr:rowOff>34106</xdr:rowOff>
    </xdr:from>
    <xdr:to>
      <xdr:col>3</xdr:col>
      <xdr:colOff>222250</xdr:colOff>
      <xdr:row>5</xdr:row>
      <xdr:rowOff>104774</xdr:rowOff>
    </xdr:to>
    <xdr:pic>
      <xdr:nvPicPr>
        <xdr:cNvPr id="4097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2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" y="240481"/>
          <a:ext cx="2127250" cy="848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F9A9-FCEB-47B1-AE78-CF1A36A7E64B}">
  <dimension ref="A3:BJ36"/>
  <sheetViews>
    <sheetView topLeftCell="A16" zoomScaleNormal="100" workbookViewId="0">
      <pane xSplit="7" topLeftCell="H1" activePane="topRight" state="frozen"/>
      <selection pane="topRight" activeCell="E24" sqref="E24"/>
    </sheetView>
  </sheetViews>
  <sheetFormatPr baseColWidth="10" defaultColWidth="11.42578125" defaultRowHeight="15" x14ac:dyDescent="0.25"/>
  <cols>
    <col min="1" max="1" width="7.7109375" style="27" bestFit="1" customWidth="1"/>
    <col min="2" max="2" width="49" style="28" bestFit="1" customWidth="1"/>
    <col min="3" max="3" width="13.85546875" style="28" customWidth="1"/>
    <col min="4" max="4" width="13.5703125" style="28" customWidth="1"/>
    <col min="5" max="5" width="12.5703125" style="28" customWidth="1"/>
    <col min="6" max="6" width="12.7109375" style="28" customWidth="1"/>
    <col min="7" max="7" width="13.85546875" style="28" customWidth="1"/>
    <col min="8" max="8" width="12.140625" style="28" customWidth="1"/>
    <col min="9" max="9" width="12.28515625" style="28" customWidth="1"/>
    <col min="10" max="10" width="12.85546875" style="28" customWidth="1"/>
    <col min="11" max="11" width="12.28515625" style="28" customWidth="1"/>
    <col min="12" max="12" width="13" style="28" customWidth="1"/>
    <col min="13" max="13" width="12.7109375" style="28" customWidth="1"/>
    <col min="14" max="14" width="12" style="28" customWidth="1"/>
    <col min="15" max="62" width="10.42578125" style="28" customWidth="1"/>
    <col min="63" max="16384" width="11.42578125" style="28"/>
  </cols>
  <sheetData>
    <row r="3" spans="1:62" ht="21" x14ac:dyDescent="0.35">
      <c r="D3" s="29" t="s">
        <v>19</v>
      </c>
    </row>
    <row r="6" spans="1:62" ht="15.75" x14ac:dyDescent="0.25">
      <c r="A6" s="54" t="s">
        <v>11</v>
      </c>
      <c r="B6" s="54"/>
      <c r="C6" s="54"/>
      <c r="D6" s="54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</row>
    <row r="7" spans="1:62" x14ac:dyDescent="0.25">
      <c r="A7" s="34" t="s">
        <v>18</v>
      </c>
      <c r="B7" s="34" t="s">
        <v>20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</row>
    <row r="8" spans="1:62" x14ac:dyDescent="0.25">
      <c r="A8" s="55" t="s">
        <v>52</v>
      </c>
      <c r="B8" s="56"/>
      <c r="C8" s="36">
        <v>1</v>
      </c>
      <c r="D8" s="36">
        <v>2</v>
      </c>
      <c r="E8" s="36">
        <v>3</v>
      </c>
      <c r="F8" s="36">
        <v>4</v>
      </c>
      <c r="G8" s="36">
        <v>5</v>
      </c>
      <c r="H8" s="36">
        <v>6</v>
      </c>
      <c r="I8" s="36">
        <v>7</v>
      </c>
      <c r="J8" s="36">
        <v>8</v>
      </c>
      <c r="K8" s="36">
        <v>9</v>
      </c>
      <c r="L8" s="36">
        <v>10</v>
      </c>
      <c r="M8" s="36">
        <v>11</v>
      </c>
      <c r="N8" s="36">
        <v>12</v>
      </c>
      <c r="O8" s="36">
        <v>13</v>
      </c>
      <c r="P8" s="36">
        <v>14</v>
      </c>
      <c r="Q8" s="36">
        <v>15</v>
      </c>
      <c r="R8" s="36">
        <v>16</v>
      </c>
      <c r="S8" s="36">
        <v>17</v>
      </c>
      <c r="T8" s="36">
        <v>18</v>
      </c>
      <c r="U8" s="36">
        <v>19</v>
      </c>
      <c r="V8" s="36">
        <v>20</v>
      </c>
      <c r="W8" s="36">
        <v>21</v>
      </c>
      <c r="X8" s="36">
        <v>22</v>
      </c>
      <c r="Y8" s="36">
        <v>23</v>
      </c>
      <c r="Z8" s="36">
        <v>24</v>
      </c>
      <c r="AA8" s="36">
        <v>25</v>
      </c>
      <c r="AB8" s="36">
        <v>26</v>
      </c>
      <c r="AC8" s="36">
        <v>27</v>
      </c>
      <c r="AD8" s="36">
        <v>28</v>
      </c>
      <c r="AE8" s="36">
        <v>29</v>
      </c>
      <c r="AF8" s="36">
        <v>30</v>
      </c>
      <c r="AG8" s="36">
        <v>31</v>
      </c>
      <c r="AH8" s="36">
        <v>32</v>
      </c>
      <c r="AI8" s="36">
        <v>33</v>
      </c>
      <c r="AJ8" s="36">
        <v>34</v>
      </c>
      <c r="AK8" s="36">
        <v>35</v>
      </c>
      <c r="AL8" s="36">
        <v>36</v>
      </c>
      <c r="AM8" s="36">
        <v>37</v>
      </c>
      <c r="AN8" s="36">
        <v>38</v>
      </c>
      <c r="AO8" s="36">
        <v>39</v>
      </c>
      <c r="AP8" s="36">
        <v>40</v>
      </c>
      <c r="AQ8" s="36">
        <v>41</v>
      </c>
      <c r="AR8" s="36">
        <v>42</v>
      </c>
      <c r="AS8" s="36">
        <v>43</v>
      </c>
      <c r="AT8" s="36">
        <v>44</v>
      </c>
      <c r="AU8" s="36">
        <v>45</v>
      </c>
      <c r="AV8" s="36">
        <v>46</v>
      </c>
      <c r="AW8" s="36">
        <v>47</v>
      </c>
      <c r="AX8" s="36">
        <v>48</v>
      </c>
      <c r="AY8" s="36">
        <v>49</v>
      </c>
      <c r="AZ8" s="36">
        <v>50</v>
      </c>
      <c r="BA8" s="36">
        <v>51</v>
      </c>
      <c r="BB8" s="36">
        <v>52</v>
      </c>
      <c r="BC8" s="36">
        <v>53</v>
      </c>
      <c r="BD8" s="36">
        <v>54</v>
      </c>
      <c r="BE8" s="36">
        <v>55</v>
      </c>
      <c r="BF8" s="36">
        <v>56</v>
      </c>
      <c r="BG8" s="36">
        <v>57</v>
      </c>
      <c r="BH8" s="36">
        <v>58</v>
      </c>
      <c r="BI8" s="36">
        <v>59</v>
      </c>
      <c r="BJ8" s="36">
        <v>60</v>
      </c>
    </row>
    <row r="9" spans="1:62" x14ac:dyDescent="0.25">
      <c r="A9" s="52" t="s">
        <v>23</v>
      </c>
      <c r="B9" s="53"/>
      <c r="C9" s="42">
        <v>14000</v>
      </c>
      <c r="D9" s="42">
        <v>16000</v>
      </c>
      <c r="E9" s="42">
        <v>20000</v>
      </c>
      <c r="F9" s="42">
        <v>25000</v>
      </c>
      <c r="G9" s="42">
        <v>27000</v>
      </c>
      <c r="H9" s="42">
        <v>33000</v>
      </c>
      <c r="I9" s="42">
        <v>36000</v>
      </c>
      <c r="J9" s="42">
        <v>39000</v>
      </c>
      <c r="K9" s="42">
        <v>35000</v>
      </c>
      <c r="L9" s="42">
        <v>25000</v>
      </c>
      <c r="M9" s="42">
        <v>17000</v>
      </c>
      <c r="N9" s="42">
        <v>13000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</row>
    <row r="10" spans="1:62" x14ac:dyDescent="0.25">
      <c r="A10" s="32" t="s">
        <v>16</v>
      </c>
      <c r="B10" s="33" t="s">
        <v>31</v>
      </c>
      <c r="C10" s="44">
        <v>950</v>
      </c>
      <c r="D10" s="45">
        <v>1089</v>
      </c>
      <c r="E10" s="44"/>
      <c r="F10" s="46"/>
      <c r="G10" s="46"/>
      <c r="H10" s="46"/>
      <c r="I10" s="46"/>
      <c r="J10" s="46"/>
      <c r="K10" s="46"/>
      <c r="L10" s="46"/>
      <c r="M10" s="46"/>
      <c r="N10" s="46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</row>
    <row r="11" spans="1:62" x14ac:dyDescent="0.25">
      <c r="A11" s="32" t="s">
        <v>21</v>
      </c>
      <c r="B11" s="33" t="s">
        <v>32</v>
      </c>
      <c r="C11" s="44">
        <f>C10*1.5</f>
        <v>1425</v>
      </c>
      <c r="D11" s="44">
        <f t="shared" ref="D11:G11" si="0">D10*1.5</f>
        <v>1633.5</v>
      </c>
      <c r="E11" s="44"/>
      <c r="F11" s="44"/>
      <c r="G11" s="44"/>
      <c r="I11" s="44"/>
      <c r="J11" s="44"/>
      <c r="K11" s="44"/>
      <c r="L11" s="44"/>
      <c r="M11" s="44"/>
      <c r="N11" s="44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</row>
    <row r="12" spans="1:62" x14ac:dyDescent="0.25">
      <c r="A12" s="32" t="s">
        <v>22</v>
      </c>
      <c r="B12" s="33" t="s">
        <v>33</v>
      </c>
      <c r="C12" s="44">
        <f>C11</f>
        <v>1425</v>
      </c>
      <c r="D12" s="44">
        <f t="shared" ref="D12:G12" si="1">D11</f>
        <v>1633.5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</row>
    <row r="13" spans="1:62" x14ac:dyDescent="0.25">
      <c r="A13" s="52" t="s">
        <v>24</v>
      </c>
      <c r="B13" s="53"/>
      <c r="C13" s="47"/>
      <c r="D13" s="48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1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</row>
    <row r="14" spans="1:62" x14ac:dyDescent="0.25">
      <c r="A14" s="32" t="s">
        <v>17</v>
      </c>
      <c r="B14" s="33" t="s">
        <v>34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</row>
    <row r="15" spans="1:62" x14ac:dyDescent="0.25">
      <c r="A15" s="32" t="s">
        <v>25</v>
      </c>
      <c r="B15" s="33" t="s">
        <v>35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</row>
    <row r="16" spans="1:62" x14ac:dyDescent="0.25">
      <c r="A16" s="32" t="s">
        <v>26</v>
      </c>
      <c r="B16" s="33" t="s">
        <v>36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</row>
    <row r="17" spans="1:62" x14ac:dyDescent="0.25">
      <c r="A17" s="32" t="s">
        <v>27</v>
      </c>
      <c r="B17" s="33" t="s">
        <v>37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</row>
    <row r="18" spans="1:62" x14ac:dyDescent="0.25">
      <c r="A18" s="52" t="s">
        <v>28</v>
      </c>
      <c r="B18" s="53"/>
      <c r="C18" s="47"/>
      <c r="D18" s="48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1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</row>
    <row r="19" spans="1:62" x14ac:dyDescent="0.25">
      <c r="A19" s="32" t="s">
        <v>17</v>
      </c>
      <c r="B19" s="33" t="s">
        <v>38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</row>
    <row r="20" spans="1:62" x14ac:dyDescent="0.25">
      <c r="A20" s="32" t="s">
        <v>25</v>
      </c>
      <c r="B20" s="33" t="s">
        <v>39</v>
      </c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</row>
    <row r="21" spans="1:62" x14ac:dyDescent="0.25">
      <c r="A21" s="32" t="s">
        <v>26</v>
      </c>
      <c r="B21" s="33" t="s">
        <v>40</v>
      </c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</row>
    <row r="22" spans="1:62" x14ac:dyDescent="0.25">
      <c r="A22" s="52" t="s">
        <v>41</v>
      </c>
      <c r="B22" s="53"/>
      <c r="C22" s="47"/>
      <c r="D22" s="48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1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</row>
    <row r="23" spans="1:62" x14ac:dyDescent="0.25">
      <c r="A23" s="32" t="s">
        <v>17</v>
      </c>
      <c r="B23" s="33" t="s">
        <v>45</v>
      </c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</row>
    <row r="24" spans="1:62" x14ac:dyDescent="0.25">
      <c r="A24" s="32" t="s">
        <v>25</v>
      </c>
      <c r="B24" s="33" t="s">
        <v>46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</row>
    <row r="25" spans="1:62" x14ac:dyDescent="0.25">
      <c r="A25" s="52" t="s">
        <v>42</v>
      </c>
      <c r="B25" s="53"/>
      <c r="C25" s="47"/>
      <c r="D25" s="48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</row>
    <row r="26" spans="1:62" x14ac:dyDescent="0.25">
      <c r="A26" s="32" t="s">
        <v>17</v>
      </c>
      <c r="B26" s="33" t="s">
        <v>47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</row>
    <row r="27" spans="1:62" x14ac:dyDescent="0.25">
      <c r="A27" s="32" t="s">
        <v>25</v>
      </c>
      <c r="B27" s="33" t="s">
        <v>48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</row>
    <row r="28" spans="1:62" x14ac:dyDescent="0.25">
      <c r="A28" s="32" t="s">
        <v>26</v>
      </c>
      <c r="B28" s="33" t="s">
        <v>49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</row>
    <row r="29" spans="1:62" x14ac:dyDescent="0.25">
      <c r="A29" s="32" t="s">
        <v>43</v>
      </c>
      <c r="B29" s="33" t="s">
        <v>50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</row>
    <row r="30" spans="1:62" x14ac:dyDescent="0.25">
      <c r="A30" s="32" t="s">
        <v>44</v>
      </c>
      <c r="B30" s="33" t="s">
        <v>51</v>
      </c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</row>
    <row r="31" spans="1:62" x14ac:dyDescent="0.25">
      <c r="B31" s="37" t="s">
        <v>29</v>
      </c>
      <c r="C31" s="49">
        <f>SUM(C10:C21)</f>
        <v>3800</v>
      </c>
      <c r="D31" s="49">
        <f t="shared" ref="D31:N31" si="2">SUM(D10:D21)</f>
        <v>4356</v>
      </c>
      <c r="E31" s="49"/>
      <c r="F31" s="49"/>
      <c r="G31" s="49"/>
      <c r="H31" s="49">
        <f t="shared" si="2"/>
        <v>0</v>
      </c>
      <c r="I31" s="49">
        <f t="shared" si="2"/>
        <v>0</v>
      </c>
      <c r="J31" s="49">
        <f t="shared" si="2"/>
        <v>0</v>
      </c>
      <c r="K31" s="49">
        <f t="shared" si="2"/>
        <v>0</v>
      </c>
      <c r="L31" s="49">
        <f t="shared" si="2"/>
        <v>0</v>
      </c>
      <c r="M31" s="49">
        <f t="shared" si="2"/>
        <v>0</v>
      </c>
      <c r="N31" s="49">
        <f t="shared" si="2"/>
        <v>0</v>
      </c>
      <c r="O31" s="38">
        <f t="shared" ref="O31:AH31" si="3">SUM(O10:O21)</f>
        <v>0</v>
      </c>
      <c r="P31" s="38">
        <f t="shared" si="3"/>
        <v>0</v>
      </c>
      <c r="Q31" s="38">
        <f t="shared" si="3"/>
        <v>0</v>
      </c>
      <c r="R31" s="38">
        <f t="shared" si="3"/>
        <v>0</v>
      </c>
      <c r="S31" s="38">
        <f t="shared" si="3"/>
        <v>0</v>
      </c>
      <c r="T31" s="38">
        <f t="shared" si="3"/>
        <v>0</v>
      </c>
      <c r="U31" s="38">
        <f t="shared" si="3"/>
        <v>0</v>
      </c>
      <c r="V31" s="38">
        <f t="shared" si="3"/>
        <v>0</v>
      </c>
      <c r="W31" s="38">
        <f t="shared" si="3"/>
        <v>0</v>
      </c>
      <c r="X31" s="38">
        <f t="shared" si="3"/>
        <v>0</v>
      </c>
      <c r="Y31" s="38">
        <f t="shared" si="3"/>
        <v>0</v>
      </c>
      <c r="Z31" s="38">
        <f t="shared" si="3"/>
        <v>0</v>
      </c>
      <c r="AA31" s="38">
        <f t="shared" si="3"/>
        <v>0</v>
      </c>
      <c r="AB31" s="38">
        <f t="shared" si="3"/>
        <v>0</v>
      </c>
      <c r="AC31" s="38">
        <f t="shared" si="3"/>
        <v>0</v>
      </c>
      <c r="AD31" s="38">
        <f t="shared" si="3"/>
        <v>0</v>
      </c>
      <c r="AE31" s="38">
        <f t="shared" si="3"/>
        <v>0</v>
      </c>
      <c r="AF31" s="38">
        <f t="shared" si="3"/>
        <v>0</v>
      </c>
      <c r="AG31" s="38">
        <f t="shared" si="3"/>
        <v>0</v>
      </c>
      <c r="AH31" s="38">
        <f t="shared" si="3"/>
        <v>0</v>
      </c>
      <c r="AI31" s="38">
        <f t="shared" ref="AI31:BJ31" si="4">SUM(AI10:AI21)</f>
        <v>0</v>
      </c>
      <c r="AJ31" s="38">
        <f t="shared" si="4"/>
        <v>0</v>
      </c>
      <c r="AK31" s="38">
        <f t="shared" si="4"/>
        <v>0</v>
      </c>
      <c r="AL31" s="38">
        <f t="shared" si="4"/>
        <v>0</v>
      </c>
      <c r="AM31" s="38">
        <f t="shared" si="4"/>
        <v>0</v>
      </c>
      <c r="AN31" s="38">
        <f t="shared" si="4"/>
        <v>0</v>
      </c>
      <c r="AO31" s="38">
        <f t="shared" si="4"/>
        <v>0</v>
      </c>
      <c r="AP31" s="38">
        <f t="shared" si="4"/>
        <v>0</v>
      </c>
      <c r="AQ31" s="38">
        <f t="shared" si="4"/>
        <v>0</v>
      </c>
      <c r="AR31" s="38">
        <f t="shared" si="4"/>
        <v>0</v>
      </c>
      <c r="AS31" s="38">
        <f t="shared" si="4"/>
        <v>0</v>
      </c>
      <c r="AT31" s="38">
        <f t="shared" si="4"/>
        <v>0</v>
      </c>
      <c r="AU31" s="38">
        <f t="shared" si="4"/>
        <v>0</v>
      </c>
      <c r="AV31" s="38">
        <f t="shared" si="4"/>
        <v>0</v>
      </c>
      <c r="AW31" s="38">
        <f t="shared" si="4"/>
        <v>0</v>
      </c>
      <c r="AX31" s="38">
        <f t="shared" si="4"/>
        <v>0</v>
      </c>
      <c r="AY31" s="38">
        <f t="shared" si="4"/>
        <v>0</v>
      </c>
      <c r="AZ31" s="38">
        <f t="shared" si="4"/>
        <v>0</v>
      </c>
      <c r="BA31" s="38">
        <f t="shared" si="4"/>
        <v>0</v>
      </c>
      <c r="BB31" s="38">
        <f t="shared" si="4"/>
        <v>0</v>
      </c>
      <c r="BC31" s="38">
        <f t="shared" si="4"/>
        <v>0</v>
      </c>
      <c r="BD31" s="38">
        <f t="shared" si="4"/>
        <v>0</v>
      </c>
      <c r="BE31" s="38">
        <f t="shared" si="4"/>
        <v>0</v>
      </c>
      <c r="BF31" s="38">
        <f t="shared" si="4"/>
        <v>0</v>
      </c>
      <c r="BG31" s="38">
        <f t="shared" si="4"/>
        <v>0</v>
      </c>
      <c r="BH31" s="38">
        <f t="shared" si="4"/>
        <v>0</v>
      </c>
      <c r="BI31" s="38">
        <f t="shared" si="4"/>
        <v>0</v>
      </c>
      <c r="BJ31" s="38">
        <f t="shared" si="4"/>
        <v>0</v>
      </c>
    </row>
    <row r="32" spans="1:62" x14ac:dyDescent="0.25">
      <c r="O32" s="40"/>
    </row>
    <row r="33" spans="4:6" x14ac:dyDescent="0.25">
      <c r="F33" s="51"/>
    </row>
    <row r="34" spans="4:6" x14ac:dyDescent="0.25">
      <c r="E34" s="43"/>
      <c r="F34" s="50"/>
    </row>
    <row r="36" spans="4:6" x14ac:dyDescent="0.25">
      <c r="D36" s="43"/>
    </row>
  </sheetData>
  <mergeCells count="7">
    <mergeCell ref="A22:B22"/>
    <mergeCell ref="A25:B25"/>
    <mergeCell ref="A6:D6"/>
    <mergeCell ref="A8:B8"/>
    <mergeCell ref="A13:B13"/>
    <mergeCell ref="A18:B18"/>
    <mergeCell ref="A9:B9"/>
  </mergeCells>
  <phoneticPr fontId="1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4"/>
  <sheetViews>
    <sheetView showGridLines="0" tabSelected="1" topLeftCell="C10" zoomScale="104" zoomScaleNormal="90" workbookViewId="0">
      <selection activeCell="Q18" sqref="Q18"/>
    </sheetView>
  </sheetViews>
  <sheetFormatPr baseColWidth="10" defaultColWidth="11.42578125" defaultRowHeight="15" x14ac:dyDescent="0.25"/>
  <cols>
    <col min="2" max="2" width="3.28515625" customWidth="1"/>
    <col min="3" max="3" width="44.7109375" bestFit="1" customWidth="1"/>
    <col min="4" max="4" width="16.7109375" customWidth="1"/>
    <col min="5" max="5" width="16.140625" bestFit="1" customWidth="1"/>
    <col min="6" max="6" width="17.42578125" customWidth="1"/>
    <col min="7" max="8" width="14.7109375" bestFit="1" customWidth="1"/>
    <col min="9" max="9" width="14.42578125" bestFit="1" customWidth="1"/>
    <col min="10" max="10" width="16.42578125" bestFit="1" customWidth="1"/>
    <col min="11" max="11" width="14.42578125" bestFit="1" customWidth="1"/>
    <col min="12" max="12" width="16.42578125" bestFit="1" customWidth="1"/>
    <col min="13" max="14" width="15.42578125" bestFit="1" customWidth="1"/>
    <col min="15" max="15" width="16.7109375" customWidth="1"/>
    <col min="16" max="16" width="3.28515625" customWidth="1"/>
  </cols>
  <sheetData>
    <row r="1" spans="2:15" ht="15.75" thickBot="1" x14ac:dyDescent="0.3"/>
    <row r="2" spans="2:15" ht="15.75" thickTop="1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25">
      <c r="B3" s="5"/>
      <c r="O3" s="6"/>
    </row>
    <row r="4" spans="2:15" x14ac:dyDescent="0.25">
      <c r="B4" s="5"/>
      <c r="O4" s="6"/>
    </row>
    <row r="5" spans="2:15" x14ac:dyDescent="0.25">
      <c r="B5" s="5"/>
      <c r="O5" s="6"/>
    </row>
    <row r="6" spans="2:15" x14ac:dyDescent="0.25">
      <c r="B6" s="5"/>
      <c r="O6" s="6"/>
    </row>
    <row r="7" spans="2:15" ht="21" x14ac:dyDescent="0.35">
      <c r="B7" s="5"/>
      <c r="C7" s="59" t="s">
        <v>10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</row>
    <row r="8" spans="2:15" x14ac:dyDescent="0.25">
      <c r="B8" s="5"/>
      <c r="O8" s="6"/>
    </row>
    <row r="9" spans="2:15" x14ac:dyDescent="0.25">
      <c r="B9" s="5"/>
      <c r="C9" s="20" t="s">
        <v>2</v>
      </c>
      <c r="D9" s="17" t="s">
        <v>53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</row>
    <row r="10" spans="2:15" x14ac:dyDescent="0.25">
      <c r="B10" s="5"/>
      <c r="C10" s="20" t="s">
        <v>3</v>
      </c>
      <c r="D10" s="61" t="s">
        <v>54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3"/>
    </row>
    <row r="11" spans="2:15" x14ac:dyDescent="0.25">
      <c r="B11" s="5"/>
      <c r="C11" s="20" t="s">
        <v>6</v>
      </c>
      <c r="D11" s="64">
        <v>46054</v>
      </c>
      <c r="E11" s="65"/>
      <c r="F11" s="66" t="s">
        <v>7</v>
      </c>
      <c r="G11" s="67"/>
      <c r="H11" s="61" t="s">
        <v>12</v>
      </c>
      <c r="I11" s="62"/>
      <c r="J11" s="68"/>
      <c r="K11" s="66" t="s">
        <v>4</v>
      </c>
      <c r="L11" s="67"/>
      <c r="M11" s="64" t="s">
        <v>13</v>
      </c>
      <c r="N11" s="69"/>
      <c r="O11" s="70"/>
    </row>
    <row r="12" spans="2:15" x14ac:dyDescent="0.25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25">
      <c r="B13" s="5"/>
      <c r="C13" s="21"/>
      <c r="D13" s="57" t="s">
        <v>30</v>
      </c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8"/>
    </row>
    <row r="14" spans="2:15" x14ac:dyDescent="0.25">
      <c r="B14" s="5"/>
      <c r="C14" s="20" t="s">
        <v>52</v>
      </c>
      <c r="D14" s="23">
        <v>1</v>
      </c>
      <c r="E14" s="23">
        <v>2</v>
      </c>
      <c r="F14" s="23">
        <v>3</v>
      </c>
      <c r="G14" s="23">
        <v>4</v>
      </c>
      <c r="H14" s="23">
        <v>5</v>
      </c>
      <c r="I14" s="23">
        <v>6</v>
      </c>
      <c r="J14" s="23">
        <v>7</v>
      </c>
      <c r="K14" s="23">
        <v>8</v>
      </c>
      <c r="L14" s="23">
        <v>9</v>
      </c>
      <c r="M14" s="23">
        <v>10</v>
      </c>
      <c r="N14" s="23">
        <v>11</v>
      </c>
      <c r="O14" s="23">
        <v>12</v>
      </c>
    </row>
    <row r="15" spans="2:15" x14ac:dyDescent="0.25">
      <c r="B15" s="5"/>
      <c r="C15" s="20" t="s">
        <v>0</v>
      </c>
      <c r="D15" s="1">
        <f>'Detalle de Costos'!C9</f>
        <v>14000</v>
      </c>
      <c r="E15" s="1">
        <f>'Detalle de Costos'!D9</f>
        <v>16000</v>
      </c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5" x14ac:dyDescent="0.25">
      <c r="B16" s="5"/>
      <c r="C16" s="20" t="s">
        <v>8</v>
      </c>
      <c r="D16" s="16">
        <f>D15</f>
        <v>14000</v>
      </c>
      <c r="E16" s="1">
        <f>E15+D16</f>
        <v>30000</v>
      </c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2:15" x14ac:dyDescent="0.25">
      <c r="B17" s="5"/>
      <c r="C17" s="20" t="s">
        <v>1</v>
      </c>
      <c r="D17" s="1">
        <f>'Detalle de Costos'!C31</f>
        <v>3800</v>
      </c>
      <c r="E17" s="1">
        <f>'Detalle de Costos'!D31</f>
        <v>4356</v>
      </c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2:15" x14ac:dyDescent="0.25">
      <c r="B18" s="5"/>
      <c r="C18" s="20" t="s">
        <v>9</v>
      </c>
      <c r="D18" s="1">
        <f>D17</f>
        <v>3800</v>
      </c>
      <c r="E18" s="1">
        <f>D18+E17</f>
        <v>8156</v>
      </c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 x14ac:dyDescent="0.25">
      <c r="B19" s="5"/>
      <c r="O19" s="6"/>
    </row>
    <row r="20" spans="2:15" x14ac:dyDescent="0.25">
      <c r="B20" s="5"/>
      <c r="O20" s="6"/>
    </row>
    <row r="21" spans="2:15" x14ac:dyDescent="0.25">
      <c r="B21" s="5"/>
      <c r="C21" s="7"/>
      <c r="D21" s="13"/>
      <c r="E21" s="14"/>
      <c r="O21" s="6"/>
    </row>
    <row r="22" spans="2:15" x14ac:dyDescent="0.25">
      <c r="B22" s="5"/>
      <c r="O22" s="6"/>
    </row>
    <row r="23" spans="2:15" x14ac:dyDescent="0.25">
      <c r="B23" s="5"/>
      <c r="O23" s="6"/>
    </row>
    <row r="24" spans="2:15" x14ac:dyDescent="0.25">
      <c r="B24" s="5"/>
      <c r="O24" s="6"/>
    </row>
    <row r="25" spans="2:15" x14ac:dyDescent="0.25">
      <c r="B25" s="5"/>
      <c r="O25" s="6"/>
    </row>
    <row r="26" spans="2:15" x14ac:dyDescent="0.25">
      <c r="B26" s="5"/>
      <c r="O26" s="6"/>
    </row>
    <row r="27" spans="2:15" x14ac:dyDescent="0.25">
      <c r="B27" s="5"/>
      <c r="O27" s="6"/>
    </row>
    <row r="28" spans="2:15" x14ac:dyDescent="0.25">
      <c r="B28" s="5"/>
      <c r="O28" s="6"/>
    </row>
    <row r="29" spans="2:15" x14ac:dyDescent="0.25">
      <c r="B29" s="5"/>
      <c r="O29" s="6"/>
    </row>
    <row r="30" spans="2:15" x14ac:dyDescent="0.25">
      <c r="B30" s="5"/>
      <c r="O30" s="6"/>
    </row>
    <row r="31" spans="2:15" x14ac:dyDescent="0.25">
      <c r="B31" s="5"/>
      <c r="O31" s="6"/>
    </row>
    <row r="32" spans="2:15" x14ac:dyDescent="0.25">
      <c r="B32" s="5"/>
      <c r="O32" s="6"/>
    </row>
    <row r="33" spans="2:15" x14ac:dyDescent="0.25">
      <c r="B33" s="5"/>
      <c r="O33" s="6"/>
    </row>
    <row r="34" spans="2:15" x14ac:dyDescent="0.25">
      <c r="B34" s="5"/>
      <c r="O34" s="6"/>
    </row>
    <row r="35" spans="2:15" x14ac:dyDescent="0.25">
      <c r="B35" s="5"/>
      <c r="O35" s="6"/>
    </row>
    <row r="36" spans="2:15" x14ac:dyDescent="0.25">
      <c r="B36" s="5"/>
      <c r="O36" s="6"/>
    </row>
    <row r="37" spans="2:15" x14ac:dyDescent="0.25">
      <c r="B37" s="5"/>
      <c r="O37" s="6"/>
    </row>
    <row r="38" spans="2:15" x14ac:dyDescent="0.25">
      <c r="B38" s="5"/>
      <c r="O38" s="6"/>
    </row>
    <row r="39" spans="2:15" x14ac:dyDescent="0.25">
      <c r="B39" s="5"/>
      <c r="O39" s="6"/>
    </row>
    <row r="40" spans="2:15" x14ac:dyDescent="0.25">
      <c r="B40" s="5"/>
      <c r="O40" s="6"/>
    </row>
    <row r="41" spans="2:15" x14ac:dyDescent="0.25">
      <c r="B41" s="5"/>
      <c r="O41" s="6"/>
    </row>
    <row r="42" spans="2:15" x14ac:dyDescent="0.25">
      <c r="B42" s="5"/>
      <c r="O42" s="6"/>
    </row>
    <row r="43" spans="2:15" ht="15.75" thickBot="1" x14ac:dyDescent="0.3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.75" thickTop="1" x14ac:dyDescent="0.25"/>
  </sheetData>
  <mergeCells count="8">
    <mergeCell ref="D13:O13"/>
    <mergeCell ref="C7:O7"/>
    <mergeCell ref="D10:O10"/>
    <mergeCell ref="D11:E11"/>
    <mergeCell ref="F11:G11"/>
    <mergeCell ref="H11:J11"/>
    <mergeCell ref="K11:L11"/>
    <mergeCell ref="M11:O11"/>
  </mergeCells>
  <phoneticPr fontId="11" type="noConversion"/>
  <pageMargins left="0.7" right="0.7" top="0.75" bottom="0.75" header="0.3" footer="0.3"/>
  <pageSetup scale="3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44"/>
  <sheetViews>
    <sheetView showGridLines="0" topLeftCell="A12" zoomScale="80" zoomScaleNormal="80" workbookViewId="0">
      <selection activeCell="P14" sqref="P14"/>
    </sheetView>
  </sheetViews>
  <sheetFormatPr baseColWidth="10" defaultColWidth="11.42578125" defaultRowHeight="15" x14ac:dyDescent="0.25"/>
  <cols>
    <col min="2" max="2" width="3.28515625" customWidth="1"/>
    <col min="3" max="3" width="44.7109375" bestFit="1" customWidth="1"/>
    <col min="4" max="4" width="20" customWidth="1"/>
    <col min="5" max="5" width="16.140625" bestFit="1" customWidth="1"/>
    <col min="6" max="6" width="17.42578125" customWidth="1"/>
    <col min="7" max="8" width="14.7109375" bestFit="1" customWidth="1"/>
    <col min="9" max="9" width="14.42578125" bestFit="1" customWidth="1"/>
    <col min="10" max="10" width="16.42578125" bestFit="1" customWidth="1"/>
    <col min="11" max="11" width="14.42578125" bestFit="1" customWidth="1"/>
    <col min="12" max="12" width="16.42578125" bestFit="1" customWidth="1"/>
    <col min="13" max="14" width="15.42578125" bestFit="1" customWidth="1"/>
    <col min="15" max="15" width="16.140625" bestFit="1" customWidth="1"/>
    <col min="16" max="16" width="3.28515625" customWidth="1"/>
  </cols>
  <sheetData>
    <row r="1" spans="2:15" ht="15.75" thickBot="1" x14ac:dyDescent="0.3"/>
    <row r="2" spans="2:15" ht="15.75" thickTop="1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25">
      <c r="B3" s="5"/>
      <c r="O3" s="6"/>
    </row>
    <row r="4" spans="2:15" x14ac:dyDescent="0.25">
      <c r="B4" s="5"/>
      <c r="O4" s="6"/>
    </row>
    <row r="5" spans="2:15" x14ac:dyDescent="0.25">
      <c r="B5" s="5"/>
      <c r="O5" s="6"/>
    </row>
    <row r="6" spans="2:15" x14ac:dyDescent="0.25">
      <c r="B6" s="5"/>
      <c r="O6" s="6"/>
    </row>
    <row r="7" spans="2:15" ht="21" x14ac:dyDescent="0.35">
      <c r="B7" s="5"/>
      <c r="C7" s="59" t="s">
        <v>10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</row>
    <row r="8" spans="2:15" x14ac:dyDescent="0.25">
      <c r="B8" s="5"/>
      <c r="O8" s="6"/>
    </row>
    <row r="9" spans="2:15" x14ac:dyDescent="0.25">
      <c r="B9" s="5"/>
      <c r="C9" s="20" t="s">
        <v>2</v>
      </c>
      <c r="D9" s="71" t="s">
        <v>15</v>
      </c>
      <c r="E9" s="71"/>
      <c r="F9" s="71"/>
      <c r="G9" s="71"/>
      <c r="H9" s="71"/>
      <c r="I9" s="71"/>
      <c r="J9" s="71"/>
      <c r="K9" s="71"/>
      <c r="L9" s="71"/>
      <c r="M9" s="71"/>
      <c r="N9" s="71"/>
      <c r="O9" s="72"/>
    </row>
    <row r="10" spans="2:15" x14ac:dyDescent="0.25">
      <c r="B10" s="5"/>
      <c r="C10" s="20" t="s">
        <v>3</v>
      </c>
      <c r="D10" s="71" t="s">
        <v>14</v>
      </c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2"/>
    </row>
    <row r="11" spans="2:15" x14ac:dyDescent="0.25">
      <c r="B11" s="5"/>
      <c r="C11" s="20" t="s">
        <v>6</v>
      </c>
      <c r="D11" s="73">
        <v>40695</v>
      </c>
      <c r="E11" s="74"/>
      <c r="F11" s="75" t="s">
        <v>7</v>
      </c>
      <c r="G11" s="75"/>
      <c r="H11" s="73">
        <v>41455</v>
      </c>
      <c r="I11" s="74"/>
      <c r="J11" s="74"/>
      <c r="K11" s="75" t="s">
        <v>4</v>
      </c>
      <c r="L11" s="75"/>
      <c r="M11" s="73">
        <v>40908</v>
      </c>
      <c r="N11" s="74"/>
      <c r="O11" s="76"/>
    </row>
    <row r="12" spans="2:15" x14ac:dyDescent="0.25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25">
      <c r="B13" s="5"/>
      <c r="C13" s="21"/>
      <c r="D13" s="57" t="s">
        <v>5</v>
      </c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8"/>
    </row>
    <row r="14" spans="2:15" x14ac:dyDescent="0.25">
      <c r="B14" s="5"/>
      <c r="C14" s="22"/>
      <c r="D14" s="23">
        <v>1</v>
      </c>
      <c r="E14" s="23">
        <v>2</v>
      </c>
      <c r="F14" s="23">
        <v>3</v>
      </c>
      <c r="G14" s="23">
        <v>4</v>
      </c>
      <c r="H14" s="23">
        <v>5</v>
      </c>
      <c r="I14" s="23">
        <v>6</v>
      </c>
      <c r="J14" s="23">
        <v>7</v>
      </c>
      <c r="K14" s="23">
        <v>8</v>
      </c>
      <c r="L14" s="23">
        <v>9</v>
      </c>
      <c r="M14" s="23">
        <v>10</v>
      </c>
      <c r="N14" s="23">
        <v>11</v>
      </c>
      <c r="O14" s="24">
        <v>12</v>
      </c>
    </row>
    <row r="15" spans="2:15" x14ac:dyDescent="0.25">
      <c r="B15" s="5"/>
      <c r="C15" s="20" t="s">
        <v>0</v>
      </c>
      <c r="D15" s="25">
        <v>20000</v>
      </c>
      <c r="E15" s="25">
        <v>40000</v>
      </c>
      <c r="F15" s="25">
        <v>60000</v>
      </c>
      <c r="G15" s="25">
        <v>80000</v>
      </c>
      <c r="H15" s="25">
        <v>120000</v>
      </c>
      <c r="I15" s="25">
        <v>140000</v>
      </c>
      <c r="J15" s="25">
        <v>160000</v>
      </c>
      <c r="K15" s="25">
        <v>180000</v>
      </c>
      <c r="L15" s="25">
        <v>180000</v>
      </c>
      <c r="M15" s="25">
        <v>120000</v>
      </c>
      <c r="N15" s="25">
        <v>80000</v>
      </c>
      <c r="O15" s="26">
        <v>40000</v>
      </c>
    </row>
    <row r="16" spans="2:15" x14ac:dyDescent="0.25">
      <c r="B16" s="5"/>
      <c r="C16" s="20" t="s">
        <v>8</v>
      </c>
      <c r="D16" s="25">
        <f>D15</f>
        <v>20000</v>
      </c>
      <c r="E16" s="25">
        <f>D16+E15</f>
        <v>60000</v>
      </c>
      <c r="F16" s="25">
        <f t="shared" ref="F16:O16" si="0">E16+F15</f>
        <v>120000</v>
      </c>
      <c r="G16" s="25">
        <f t="shared" si="0"/>
        <v>200000</v>
      </c>
      <c r="H16" s="25">
        <f t="shared" si="0"/>
        <v>320000</v>
      </c>
      <c r="I16" s="25">
        <f t="shared" si="0"/>
        <v>460000</v>
      </c>
      <c r="J16" s="25">
        <f t="shared" si="0"/>
        <v>620000</v>
      </c>
      <c r="K16" s="25">
        <f t="shared" si="0"/>
        <v>800000</v>
      </c>
      <c r="L16" s="25">
        <f t="shared" si="0"/>
        <v>980000</v>
      </c>
      <c r="M16" s="25">
        <f t="shared" si="0"/>
        <v>1100000</v>
      </c>
      <c r="N16" s="25">
        <f t="shared" si="0"/>
        <v>1180000</v>
      </c>
      <c r="O16" s="26">
        <f t="shared" si="0"/>
        <v>1220000</v>
      </c>
    </row>
    <row r="17" spans="2:15" x14ac:dyDescent="0.25">
      <c r="B17" s="5"/>
      <c r="C17" s="20" t="s">
        <v>1</v>
      </c>
      <c r="D17" s="25">
        <v>20000</v>
      </c>
      <c r="E17" s="25">
        <v>20000</v>
      </c>
      <c r="F17" s="25">
        <v>40000</v>
      </c>
      <c r="G17" s="25">
        <v>60000</v>
      </c>
      <c r="H17" s="25">
        <v>80000</v>
      </c>
      <c r="I17" s="25">
        <v>100000</v>
      </c>
      <c r="J17" s="25">
        <v>150000</v>
      </c>
      <c r="K17" s="25"/>
      <c r="L17" s="25"/>
      <c r="M17" s="25"/>
      <c r="N17" s="25"/>
      <c r="O17" s="26"/>
    </row>
    <row r="18" spans="2:15" x14ac:dyDescent="0.25">
      <c r="B18" s="5"/>
      <c r="C18" s="20" t="s">
        <v>9</v>
      </c>
      <c r="D18" s="25">
        <f>D17</f>
        <v>20000</v>
      </c>
      <c r="E18" s="25">
        <f>D18+E17</f>
        <v>40000</v>
      </c>
      <c r="F18" s="25">
        <f t="shared" ref="F18:J18" si="1">E18+F17</f>
        <v>80000</v>
      </c>
      <c r="G18" s="25">
        <f t="shared" si="1"/>
        <v>140000</v>
      </c>
      <c r="H18" s="25">
        <f t="shared" si="1"/>
        <v>220000</v>
      </c>
      <c r="I18" s="25">
        <f t="shared" si="1"/>
        <v>320000</v>
      </c>
      <c r="J18" s="25">
        <f t="shared" si="1"/>
        <v>470000</v>
      </c>
      <c r="K18" s="25"/>
      <c r="L18" s="25"/>
      <c r="M18" s="25"/>
      <c r="N18" s="25"/>
      <c r="O18" s="26"/>
    </row>
    <row r="19" spans="2:15" x14ac:dyDescent="0.25">
      <c r="B19" s="5"/>
      <c r="O19" s="6"/>
    </row>
    <row r="20" spans="2:15" x14ac:dyDescent="0.25">
      <c r="B20" s="5"/>
      <c r="O20" s="6"/>
    </row>
    <row r="21" spans="2:15" x14ac:dyDescent="0.25">
      <c r="B21" s="5"/>
      <c r="C21" s="7"/>
      <c r="D21" s="13"/>
      <c r="E21" s="14"/>
      <c r="O21" s="6"/>
    </row>
    <row r="22" spans="2:15" x14ac:dyDescent="0.25">
      <c r="B22" s="5"/>
      <c r="O22" s="6"/>
    </row>
    <row r="23" spans="2:15" x14ac:dyDescent="0.25">
      <c r="B23" s="5"/>
      <c r="O23" s="6"/>
    </row>
    <row r="24" spans="2:15" x14ac:dyDescent="0.25">
      <c r="B24" s="5"/>
      <c r="O24" s="6"/>
    </row>
    <row r="25" spans="2:15" x14ac:dyDescent="0.25">
      <c r="B25" s="5"/>
      <c r="O25" s="6"/>
    </row>
    <row r="26" spans="2:15" x14ac:dyDescent="0.25">
      <c r="B26" s="5"/>
      <c r="O26" s="6"/>
    </row>
    <row r="27" spans="2:15" x14ac:dyDescent="0.25">
      <c r="B27" s="5"/>
      <c r="O27" s="6"/>
    </row>
    <row r="28" spans="2:15" x14ac:dyDescent="0.25">
      <c r="B28" s="5"/>
      <c r="O28" s="6"/>
    </row>
    <row r="29" spans="2:15" x14ac:dyDescent="0.25">
      <c r="B29" s="5"/>
      <c r="O29" s="6"/>
    </row>
    <row r="30" spans="2:15" x14ac:dyDescent="0.25">
      <c r="B30" s="5"/>
      <c r="O30" s="6"/>
    </row>
    <row r="31" spans="2:15" x14ac:dyDescent="0.25">
      <c r="B31" s="5"/>
      <c r="O31" s="6"/>
    </row>
    <row r="32" spans="2:15" x14ac:dyDescent="0.25">
      <c r="B32" s="5"/>
      <c r="O32" s="6"/>
    </row>
    <row r="33" spans="2:15" x14ac:dyDescent="0.25">
      <c r="B33" s="5"/>
      <c r="O33" s="6"/>
    </row>
    <row r="34" spans="2:15" x14ac:dyDescent="0.25">
      <c r="B34" s="5"/>
      <c r="O34" s="6"/>
    </row>
    <row r="35" spans="2:15" x14ac:dyDescent="0.25">
      <c r="B35" s="5"/>
      <c r="O35" s="6"/>
    </row>
    <row r="36" spans="2:15" x14ac:dyDescent="0.25">
      <c r="B36" s="5"/>
      <c r="O36" s="6"/>
    </row>
    <row r="37" spans="2:15" x14ac:dyDescent="0.25">
      <c r="B37" s="5"/>
      <c r="O37" s="6"/>
    </row>
    <row r="38" spans="2:15" x14ac:dyDescent="0.25">
      <c r="B38" s="5"/>
      <c r="O38" s="6"/>
    </row>
    <row r="39" spans="2:15" x14ac:dyDescent="0.25">
      <c r="B39" s="5"/>
      <c r="O39" s="6"/>
    </row>
    <row r="40" spans="2:15" x14ac:dyDescent="0.25">
      <c r="B40" s="5"/>
      <c r="O40" s="6"/>
    </row>
    <row r="41" spans="2:15" x14ac:dyDescent="0.25">
      <c r="B41" s="5"/>
      <c r="O41" s="6"/>
    </row>
    <row r="42" spans="2:15" x14ac:dyDescent="0.25">
      <c r="B42" s="5"/>
      <c r="O42" s="6"/>
    </row>
    <row r="43" spans="2:15" ht="15.75" thickBot="1" x14ac:dyDescent="0.3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.75" thickTop="1" x14ac:dyDescent="0.25"/>
  </sheetData>
  <mergeCells count="9">
    <mergeCell ref="D13:O13"/>
    <mergeCell ref="C7:O7"/>
    <mergeCell ref="D9:O9"/>
    <mergeCell ref="D10:O10"/>
    <mergeCell ref="D11:E11"/>
    <mergeCell ref="F11:G11"/>
    <mergeCell ref="H11:J11"/>
    <mergeCell ref="K11:L11"/>
    <mergeCell ref="M11:O11"/>
  </mergeCells>
  <pageMargins left="0.7" right="0.7" top="0.75" bottom="0.75" header="0.3" footer="0.3"/>
  <pageSetup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de Costos</vt:lpstr>
      <vt:lpstr>Plantilla Curva S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KATIA DAYANA CASTRO CABRERA</cp:lastModifiedBy>
  <cp:lastPrinted>2012-06-13T17:33:48Z</cp:lastPrinted>
  <dcterms:created xsi:type="dcterms:W3CDTF">2012-05-23T17:29:07Z</dcterms:created>
  <dcterms:modified xsi:type="dcterms:W3CDTF">2026-04-28T01:14:47Z</dcterms:modified>
</cp:coreProperties>
</file>