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1\"/>
    </mc:Choice>
  </mc:AlternateContent>
  <xr:revisionPtr revIDLastSave="0" documentId="13_ncr:1_{02A5EC43-50A3-4444-A780-44C462B825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Avance SPRINT 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7" l="1"/>
  <c r="F32" i="7" s="1"/>
</calcChain>
</file>

<file path=xl/sharedStrings.xml><?xml version="1.0" encoding="utf-8"?>
<sst xmlns="http://schemas.openxmlformats.org/spreadsheetml/2006/main" count="94" uniqueCount="81">
  <si>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</si>
  <si>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</si>
  <si>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</si>
  <si>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</si>
  <si>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</si>
  <si>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</si>
  <si>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</si>
  <si>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</si>
  <si>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</si>
  <si>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</si>
  <si>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</si>
  <si>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</si>
  <si>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</si>
  <si>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</si>
  <si>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</si>
  <si>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</si>
  <si>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</si>
  <si>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</si>
  <si>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</si>
  <si>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</si>
  <si>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</si>
  <si>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</si>
  <si>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</si>
  <si>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</si>
  <si>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</si>
  <si>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</si>
  <si>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Cerrado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</si>
  <si>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</si>
  <si>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</si>
  <si>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</si>
  <si>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</si>
  <si>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</si>
  <si>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</si>
  <si>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</si>
  <si>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</si>
  <si>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</si>
  <si>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</si>
  <si>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</si>
  <si>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</si>
  <si>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</si>
  <si>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</si>
  <si>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</si>
  <si>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Análisis del Portafolio de Productos</t>
  </si>
  <si>
    <t>APP-EST-015</t>
  </si>
  <si>
    <t>Katia Dayana Castro Cabrera</t>
  </si>
  <si>
    <t>26/01/2026 - 27/02/2026</t>
  </si>
  <si>
    <t>Realizar reunión con el equipo de trabajo para revisar avances o resolver problematicas</t>
  </si>
  <si>
    <t>Líder del equipo</t>
  </si>
  <si>
    <t>Se llevó a cabo con excelencia la revisión de avances, así como también se revisaron los problemas que estaban surgiendo para establecer soluciones.</t>
  </si>
  <si>
    <t>El proyecto presenta una desviación del 0.33% respecto al avance planificado, manteniéndose dentro de los parámetros aceptables de desempeño. El Sprint 1 fue ejecutado prácticamente conforme a lo planeado, sin impactos significativos en tiempo ni costo. El estatus general del proyecto es Verde.</t>
  </si>
  <si>
    <t>Actividad concluida. Base de datos depurada y validada conforma a los criterios de calidad establecidos en el EDT. No presenta inconcsistencias críticas</t>
  </si>
  <si>
    <t>En proceso de documentación técnica. Variables principales definidas, pendiente validación final y ajustes menores en métricas derivadas</t>
  </si>
  <si>
    <t>Análisis estadístico prácticamente finalizado, pendiente revisión ejecutiva y validación de visualizaciones antes del cierre formal</t>
  </si>
  <si>
    <t>Clasificación preliminar completada (ABC y análisis de revenue). En ajuste final de criterios estratégicos y validación con stakeholders</t>
  </si>
  <si>
    <t>Eliminación de registros duplicados</t>
  </si>
  <si>
    <t>Definición de criterios para ranking de productos</t>
  </si>
  <si>
    <t>Definición de KPIs: ventas, ingresos y volumen.</t>
  </si>
  <si>
    <t>Limpieza y validación del dataset.</t>
  </si>
  <si>
    <t>Estandarización de formatos de fecha y valores numéricos</t>
  </si>
  <si>
    <t>1.1.1 Dataset limpio y validado</t>
  </si>
  <si>
    <t>1.1.2 Diccionario de variables</t>
  </si>
  <si>
    <t>1.1.3 Reporte descriptivo inicial</t>
  </si>
  <si>
    <t>1.2 Ranking de productos por desempeño</t>
  </si>
  <si>
    <t>El dataset presentaba formatos inconsistentes en fechas y valores numéricos que afectaban el análisis</t>
  </si>
  <si>
    <t>Se estandarizaron formatos, se corrigieron tipos de datos y se eliminaron registros duplicados.</t>
  </si>
  <si>
    <t>Analista de datos</t>
  </si>
  <si>
    <t>Alta presencia de valores atípicos en la variable Price Each, lo que puede afectar la interpretación financiera del portafolio</t>
  </si>
  <si>
    <t>Se realizó un análisis de dispersión y se implementaron ajustes metodológicos para reducir el impacto de valores extremos en los resultados</t>
  </si>
  <si>
    <t>Retrasos parciales en la entrega de actividades del Sprint debido a ajustes técnicos no previstos en el análisis de datos</t>
  </si>
  <si>
    <t>Líder del proyecto</t>
  </si>
  <si>
    <t>Falta de adaptación al uso de la aplicación para organización de actividades y del proyecto</t>
  </si>
  <si>
    <t>Llevar a cabo una reunión donde se capacitó al personal para saber utilizar la aplicación</t>
  </si>
  <si>
    <t>Se reprogramaron tareas dentro del sprint sin afectarel cronograma general, priorizando entregables críticos</t>
  </si>
  <si>
    <t>Sustitución de la base de datos inicial debido a que no contenía las variables necesarias para cumplir con los objetivos analíticos del proyecto</t>
  </si>
  <si>
    <t>Se recorrió ligeramente actividades de Sprint pero no afecto la fecha de terminación de Sprint 1</t>
  </si>
  <si>
    <t>Líder del proyecto y Analista de datos</t>
  </si>
  <si>
    <t>Modificación en el método de organización y gestión del equipo. Se dejó de utilizar exclusivamente WhatsApp para coordinación operativa y se incorporó una aplicación formal para asignación de actividades y control administrativo</t>
  </si>
  <si>
    <t>Impacto positivo en la organización, comunicación y control del proyecto. Mejoró la eficiencia en la distribución de tareas y el seguimiento del avance sin afectar tiempo ni costo.</t>
  </si>
  <si>
    <t>Consolidar ranking final de productos por desempeño (clasificación estratégica ABC).</t>
  </si>
  <si>
    <t>Desarrollar versión preliminar del dashboard ejecutivo con KPIs definidos.</t>
  </si>
  <si>
    <t>Finalizar validación estadística de variables clave ('Price Each' y 'Sales') y documentar resultados técnicos.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</si>
</sst>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87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0" fontId="2" fillId="7" borderId="1" xfId="0" applyFont="1" applyFill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9" fontId="2" fillId="0" borderId="1" xfId="0" applyNumberFormat="1" applyFont="1" applyBorder="1" applyAlignment="1">
      <alignment horizontal="center" vertical="center"/>
    </xf>
    <xf numFmtId="44" fontId="7" fillId="0" borderId="21" xfId="1" applyFont="1" applyBorder="1" applyAlignment="1" applyProtection="1">
      <alignment horizontal="center" wrapText="1"/>
      <protection locked="0"/>
    </xf>
    <xf numFmtId="44" fontId="7" fillId="0" borderId="21" xfId="1" applyFont="1" applyBorder="1" applyAlignment="1" applyProtection="1">
      <alignment horizontal="center"/>
      <protection locked="0"/>
    </xf>
    <xf numFmtId="44" fontId="0" fillId="0" borderId="0" xfId="1" applyFont="1"/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4E5872BA-2B89-4C53-8A82-AB96B8D04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53C3-0C2B-4004-A7FF-3E16DA0603CB}">
  <dimension ref="B4:J66"/>
  <sheetViews>
    <sheetView showGridLines="0" tabSelected="1" topLeftCell="A52" zoomScale="99" zoomScaleNormal="100" workbookViewId="0">
      <selection activeCell="M54" sqref="M54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7.570312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63" t="s">
        <v>40</v>
      </c>
      <c r="D6" s="64"/>
      <c r="E6" s="64"/>
      <c r="F6" s="64"/>
      <c r="G6" s="64"/>
      <c r="H6" s="64"/>
      <c r="I6" s="65"/>
      <c r="J6" s="14"/>
    </row>
    <row r="7" spans="2:10" x14ac:dyDescent="0.25">
      <c r="B7" s="13"/>
      <c r="J7" s="14"/>
    </row>
    <row r="8" spans="2:10" x14ac:dyDescent="0.25">
      <c r="B8" s="13"/>
      <c r="C8" s="23" t="s">
        <v>0</v>
      </c>
      <c r="D8" s="66" t="s">
        <v>42</v>
      </c>
      <c r="E8" s="67"/>
      <c r="F8" s="67"/>
      <c r="G8" s="67"/>
      <c r="H8" s="67"/>
      <c r="I8" s="68"/>
      <c r="J8" s="14"/>
    </row>
    <row r="9" spans="2:10" x14ac:dyDescent="0.25">
      <c r="B9" s="13"/>
      <c r="C9" s="23" t="s">
        <v>1</v>
      </c>
      <c r="D9" s="66" t="s">
        <v>43</v>
      </c>
      <c r="E9" s="67"/>
      <c r="F9" s="67"/>
      <c r="G9" s="67"/>
      <c r="H9" s="67"/>
      <c r="I9" s="68"/>
      <c r="J9" s="14"/>
    </row>
    <row r="10" spans="2:10" x14ac:dyDescent="0.25">
      <c r="B10" s="13"/>
      <c r="C10" s="29" t="s">
        <v>39</v>
      </c>
      <c r="D10" s="66" t="s">
        <v>44</v>
      </c>
      <c r="E10" s="67"/>
      <c r="F10" s="67"/>
      <c r="G10" s="67"/>
      <c r="H10" s="67"/>
      <c r="I10" s="68"/>
      <c r="J10" s="14"/>
    </row>
    <row r="11" spans="2:10" x14ac:dyDescent="0.25">
      <c r="B11" s="13"/>
      <c r="C11" s="23" t="s">
        <v>2</v>
      </c>
      <c r="D11" s="66" t="s">
        <v>45</v>
      </c>
      <c r="E11" s="67"/>
      <c r="F11" s="67"/>
      <c r="G11" s="67"/>
      <c r="H11" s="67"/>
      <c r="I11" s="68"/>
      <c r="J11" s="14"/>
    </row>
    <row r="12" spans="2:10" x14ac:dyDescent="0.25">
      <c r="B12" s="13"/>
      <c r="J12" s="14"/>
    </row>
    <row r="13" spans="2:10" x14ac:dyDescent="0.25">
      <c r="B13" s="13"/>
      <c r="C13" s="56" t="s">
        <v>33</v>
      </c>
      <c r="D13" s="57"/>
      <c r="E13" s="57"/>
      <c r="F13" s="57"/>
      <c r="G13" s="57"/>
      <c r="H13" s="57"/>
      <c r="I13" s="58"/>
      <c r="J13" s="14"/>
    </row>
    <row r="14" spans="2:10" ht="30" x14ac:dyDescent="0.25">
      <c r="B14" s="13"/>
      <c r="C14" s="24" t="s">
        <v>3</v>
      </c>
      <c r="D14" s="24" t="s">
        <v>4</v>
      </c>
      <c r="E14" s="24" t="s">
        <v>41</v>
      </c>
      <c r="F14" s="24" t="s">
        <v>25</v>
      </c>
      <c r="G14" s="60" t="s">
        <v>6</v>
      </c>
      <c r="H14" s="61"/>
      <c r="I14" s="62"/>
      <c r="J14" s="14"/>
    </row>
    <row r="15" spans="2:10" ht="76.5" x14ac:dyDescent="0.25">
      <c r="B15" s="13"/>
      <c r="C15" s="33" t="s">
        <v>46</v>
      </c>
      <c r="D15" s="33" t="s">
        <v>26</v>
      </c>
      <c r="E15" s="38">
        <v>46077</v>
      </c>
      <c r="F15" s="33" t="s">
        <v>47</v>
      </c>
      <c r="G15" s="69" t="s">
        <v>48</v>
      </c>
      <c r="H15" s="70"/>
      <c r="I15" s="71"/>
      <c r="J15" s="14"/>
    </row>
    <row r="16" spans="2:10" x14ac:dyDescent="0.25">
      <c r="B16" s="13"/>
      <c r="J16" s="14"/>
    </row>
    <row r="17" spans="2:10" x14ac:dyDescent="0.25">
      <c r="B17" s="13"/>
      <c r="C17" s="56" t="s">
        <v>34</v>
      </c>
      <c r="D17" s="57"/>
      <c r="E17" s="57"/>
      <c r="F17" s="57"/>
      <c r="G17" s="57"/>
      <c r="H17" s="57"/>
      <c r="I17" s="58"/>
      <c r="J17" s="14"/>
    </row>
    <row r="18" spans="2:10" x14ac:dyDescent="0.25">
      <c r="B18" s="13"/>
      <c r="C18" s="1"/>
      <c r="D18" s="2"/>
      <c r="E18" s="2"/>
      <c r="F18" s="2"/>
      <c r="G18" s="2"/>
      <c r="H18" s="2"/>
      <c r="I18" s="3"/>
      <c r="J18" s="14"/>
    </row>
    <row r="19" spans="2:10" x14ac:dyDescent="0.25">
      <c r="B19" s="13"/>
      <c r="C19" s="4"/>
      <c r="D19" s="26" t="s">
        <v>7</v>
      </c>
      <c r="F19" s="25" t="s">
        <v>15</v>
      </c>
      <c r="G19" s="25" t="s">
        <v>23</v>
      </c>
      <c r="I19" s="5"/>
      <c r="J19" s="14"/>
    </row>
    <row r="20" spans="2:10" x14ac:dyDescent="0.25">
      <c r="B20" s="13"/>
      <c r="C20" s="4"/>
      <c r="D20" s="20" t="s">
        <v>10</v>
      </c>
      <c r="F20" s="18" t="s">
        <v>27</v>
      </c>
      <c r="G20" s="19">
        <v>16.670000000000002</v>
      </c>
      <c r="I20" s="5"/>
      <c r="J20" s="14"/>
    </row>
    <row r="21" spans="2:10" x14ac:dyDescent="0.25">
      <c r="B21" s="13"/>
      <c r="C21" s="4"/>
      <c r="D21" s="21" t="s">
        <v>9</v>
      </c>
      <c r="F21" s="18" t="s">
        <v>11</v>
      </c>
      <c r="G21" s="19">
        <v>16.34</v>
      </c>
      <c r="I21" s="5"/>
      <c r="J21" s="14"/>
    </row>
    <row r="22" spans="2:10" x14ac:dyDescent="0.25">
      <c r="B22" s="13"/>
      <c r="C22" s="4"/>
      <c r="D22" s="22" t="s">
        <v>8</v>
      </c>
      <c r="F22" s="18" t="s">
        <v>12</v>
      </c>
      <c r="G22" s="19">
        <v>0.33</v>
      </c>
      <c r="I22" s="5"/>
      <c r="J22" s="14"/>
    </row>
    <row r="23" spans="2:10" x14ac:dyDescent="0.25">
      <c r="B23" s="13"/>
      <c r="C23" s="6"/>
      <c r="D23" s="9"/>
      <c r="E23" s="7"/>
      <c r="F23" s="7"/>
      <c r="G23" s="7"/>
      <c r="H23" s="7"/>
      <c r="I23" s="8"/>
      <c r="J23" s="14"/>
    </row>
    <row r="24" spans="2:10" x14ac:dyDescent="0.25">
      <c r="B24" s="13"/>
      <c r="C24" s="45" t="s">
        <v>38</v>
      </c>
      <c r="D24" s="46"/>
      <c r="E24" s="46"/>
      <c r="F24" s="46"/>
      <c r="G24" s="46"/>
      <c r="H24" s="46"/>
      <c r="I24" s="47"/>
      <c r="J24" s="14"/>
    </row>
    <row r="25" spans="2:10" x14ac:dyDescent="0.25">
      <c r="B25" s="13"/>
      <c r="C25" s="48" t="s">
        <v>49</v>
      </c>
      <c r="D25" s="49"/>
      <c r="E25" s="49"/>
      <c r="F25" s="49"/>
      <c r="G25" s="49"/>
      <c r="H25" s="49"/>
      <c r="I25" s="50"/>
      <c r="J25" s="14"/>
    </row>
    <row r="26" spans="2:10" x14ac:dyDescent="0.25">
      <c r="B26" s="13"/>
      <c r="J26" s="14"/>
    </row>
    <row r="27" spans="2:10" x14ac:dyDescent="0.25">
      <c r="B27" s="13"/>
      <c r="C27" s="59" t="s">
        <v>35</v>
      </c>
      <c r="D27" s="59"/>
      <c r="E27" s="59"/>
      <c r="F27" s="59"/>
      <c r="G27" s="59"/>
      <c r="H27" s="59"/>
      <c r="I27" s="59"/>
      <c r="J27" s="14"/>
    </row>
    <row r="28" spans="2:10" ht="43.5" customHeight="1" x14ac:dyDescent="0.25">
      <c r="B28" s="13"/>
      <c r="C28" s="28" t="s">
        <v>28</v>
      </c>
      <c r="D28" s="25" t="s">
        <v>7</v>
      </c>
      <c r="E28" s="25" t="s">
        <v>13</v>
      </c>
      <c r="F28" s="25" t="s">
        <v>14</v>
      </c>
      <c r="G28" s="25" t="s">
        <v>15</v>
      </c>
      <c r="H28" s="45" t="s">
        <v>6</v>
      </c>
      <c r="I28" s="47"/>
      <c r="J28" s="14"/>
    </row>
    <row r="29" spans="2:10" ht="25.5" x14ac:dyDescent="0.25">
      <c r="B29" s="13"/>
      <c r="C29" s="33" t="s">
        <v>59</v>
      </c>
      <c r="D29" s="30"/>
      <c r="E29" s="31">
        <v>0</v>
      </c>
      <c r="F29" s="44">
        <v>0</v>
      </c>
      <c r="G29" s="41">
        <v>1</v>
      </c>
      <c r="H29" s="69" t="s">
        <v>50</v>
      </c>
      <c r="I29" s="71"/>
      <c r="J29" s="14"/>
    </row>
    <row r="30" spans="2:10" ht="57.75" customHeight="1" x14ac:dyDescent="0.25">
      <c r="B30" s="13"/>
      <c r="C30" s="33" t="s">
        <v>60</v>
      </c>
      <c r="D30" s="21"/>
      <c r="E30" s="31">
        <v>950</v>
      </c>
      <c r="F30" s="42">
        <v>1089</v>
      </c>
      <c r="G30" s="41">
        <v>0.7</v>
      </c>
      <c r="H30" s="69" t="s">
        <v>51</v>
      </c>
      <c r="I30" s="71"/>
      <c r="J30" s="14"/>
    </row>
    <row r="31" spans="2:10" ht="25.5" x14ac:dyDescent="0.25">
      <c r="B31" s="13"/>
      <c r="C31" s="33" t="s">
        <v>61</v>
      </c>
      <c r="D31" s="30"/>
      <c r="E31" s="31">
        <v>1425</v>
      </c>
      <c r="F31" s="43">
        <f t="shared" ref="F31" si="0">F30*1.5</f>
        <v>1633.5</v>
      </c>
      <c r="G31" s="34">
        <v>0.95</v>
      </c>
      <c r="H31" s="69" t="s">
        <v>52</v>
      </c>
      <c r="I31" s="71"/>
      <c r="J31" s="14"/>
    </row>
    <row r="32" spans="2:10" ht="62.25" customHeight="1" x14ac:dyDescent="0.25">
      <c r="B32" s="13"/>
      <c r="C32" s="33" t="s">
        <v>62</v>
      </c>
      <c r="D32" s="30"/>
      <c r="E32" s="31">
        <v>1425</v>
      </c>
      <c r="F32" s="43">
        <f t="shared" ref="F32" si="1">F31</f>
        <v>1633.5</v>
      </c>
      <c r="G32" s="41">
        <v>0.85</v>
      </c>
      <c r="H32" s="69" t="s">
        <v>53</v>
      </c>
      <c r="I32" s="71"/>
      <c r="J32" s="14"/>
    </row>
    <row r="33" spans="2:10" ht="45" customHeight="1" x14ac:dyDescent="0.25">
      <c r="B33" s="13"/>
      <c r="J33" s="14"/>
    </row>
    <row r="34" spans="2:10" x14ac:dyDescent="0.25">
      <c r="B34" s="13"/>
      <c r="C34" s="53" t="s">
        <v>36</v>
      </c>
      <c r="D34" s="54"/>
      <c r="E34" s="54"/>
      <c r="F34" s="54"/>
      <c r="G34" s="54"/>
      <c r="H34" s="54"/>
      <c r="I34" s="55"/>
      <c r="J34" s="14"/>
    </row>
    <row r="35" spans="2:10" ht="49.5" customHeight="1" x14ac:dyDescent="0.25">
      <c r="B35" s="13"/>
      <c r="C35" s="25" t="s">
        <v>19</v>
      </c>
      <c r="D35" s="45" t="s">
        <v>24</v>
      </c>
      <c r="E35" s="46"/>
      <c r="F35" s="46"/>
      <c r="G35" s="46"/>
      <c r="H35" s="46"/>
      <c r="I35" s="47"/>
      <c r="J35" s="14"/>
    </row>
    <row r="36" spans="2:10" x14ac:dyDescent="0.25">
      <c r="B36" s="13"/>
      <c r="C36" s="19">
        <v>1</v>
      </c>
      <c r="D36" s="72" t="s">
        <v>57</v>
      </c>
      <c r="E36" s="73"/>
      <c r="F36" s="73"/>
      <c r="G36" s="73"/>
      <c r="H36" s="73"/>
      <c r="I36" s="74"/>
      <c r="J36" s="14"/>
    </row>
    <row r="37" spans="2:10" x14ac:dyDescent="0.25">
      <c r="B37" s="13"/>
      <c r="C37" s="19">
        <v>2</v>
      </c>
      <c r="D37" s="72" t="s">
        <v>58</v>
      </c>
      <c r="E37" s="73"/>
      <c r="F37" s="73"/>
      <c r="G37" s="73"/>
      <c r="H37" s="73"/>
      <c r="I37" s="74"/>
      <c r="J37" s="14"/>
    </row>
    <row r="38" spans="2:10" x14ac:dyDescent="0.25">
      <c r="B38" s="13"/>
      <c r="C38" s="19">
        <v>3</v>
      </c>
      <c r="D38" s="35" t="s">
        <v>54</v>
      </c>
      <c r="E38" s="39"/>
      <c r="F38" s="39"/>
      <c r="G38" s="39"/>
      <c r="H38" s="39"/>
      <c r="I38" s="40"/>
      <c r="J38" s="14"/>
    </row>
    <row r="39" spans="2:10" x14ac:dyDescent="0.25">
      <c r="B39" s="13"/>
      <c r="C39" s="19">
        <v>4</v>
      </c>
      <c r="D39" s="78" t="s">
        <v>56</v>
      </c>
      <c r="E39" s="79"/>
      <c r="F39" s="79"/>
      <c r="G39" s="79"/>
      <c r="H39" s="79"/>
      <c r="I39" s="80"/>
      <c r="J39" s="14"/>
    </row>
    <row r="40" spans="2:10" x14ac:dyDescent="0.25">
      <c r="B40" s="13"/>
      <c r="C40" s="19">
        <v>5</v>
      </c>
      <c r="D40" s="72" t="s">
        <v>55</v>
      </c>
      <c r="E40" s="73"/>
      <c r="F40" s="73"/>
      <c r="G40" s="73"/>
      <c r="H40" s="73"/>
      <c r="I40" s="74"/>
      <c r="J40" s="14"/>
    </row>
    <row r="41" spans="2:10" x14ac:dyDescent="0.25">
      <c r="B41" s="13"/>
      <c r="J41" s="14"/>
    </row>
    <row r="42" spans="2:10" x14ac:dyDescent="0.25">
      <c r="B42" s="13"/>
      <c r="C42" s="53" t="s">
        <v>16</v>
      </c>
      <c r="D42" s="54"/>
      <c r="E42" s="54"/>
      <c r="F42" s="54"/>
      <c r="G42" s="54"/>
      <c r="H42" s="54"/>
      <c r="I42" s="55"/>
      <c r="J42" s="14"/>
    </row>
    <row r="43" spans="2:10" ht="21" customHeight="1" x14ac:dyDescent="0.25">
      <c r="B43" s="13"/>
      <c r="C43" s="27" t="s">
        <v>19</v>
      </c>
      <c r="D43" s="51" t="s">
        <v>16</v>
      </c>
      <c r="E43" s="52"/>
      <c r="F43" s="51" t="s">
        <v>17</v>
      </c>
      <c r="G43" s="52"/>
      <c r="H43" s="27" t="s">
        <v>18</v>
      </c>
      <c r="I43" s="27" t="s">
        <v>5</v>
      </c>
      <c r="J43" s="14"/>
    </row>
    <row r="44" spans="2:10" ht="49.5" customHeight="1" x14ac:dyDescent="0.25">
      <c r="B44" s="13"/>
      <c r="C44" s="33">
        <v>1</v>
      </c>
      <c r="D44" s="81" t="s">
        <v>70</v>
      </c>
      <c r="E44" s="82"/>
      <c r="F44" s="81" t="s">
        <v>71</v>
      </c>
      <c r="G44" s="82"/>
      <c r="H44" s="33" t="s">
        <v>69</v>
      </c>
      <c r="I44" s="38">
        <v>46058</v>
      </c>
      <c r="J44" s="14"/>
    </row>
    <row r="45" spans="2:10" ht="56.25" customHeight="1" x14ac:dyDescent="0.25">
      <c r="B45" s="13"/>
      <c r="C45" s="33">
        <v>2</v>
      </c>
      <c r="D45" s="69" t="s">
        <v>68</v>
      </c>
      <c r="E45" s="71"/>
      <c r="F45" s="69" t="s">
        <v>72</v>
      </c>
      <c r="G45" s="71"/>
      <c r="H45" s="33" t="s">
        <v>69</v>
      </c>
      <c r="I45" s="38">
        <v>46063</v>
      </c>
      <c r="J45" s="14"/>
    </row>
    <row r="46" spans="2:10" ht="56.25" customHeight="1" x14ac:dyDescent="0.25">
      <c r="B46" s="13"/>
      <c r="C46" s="33">
        <v>3</v>
      </c>
      <c r="D46" s="69" t="s">
        <v>63</v>
      </c>
      <c r="E46" s="71"/>
      <c r="F46" s="69" t="s">
        <v>64</v>
      </c>
      <c r="G46" s="71"/>
      <c r="H46" s="33" t="s">
        <v>65</v>
      </c>
      <c r="I46" s="38">
        <v>46064</v>
      </c>
      <c r="J46" s="14"/>
    </row>
    <row r="47" spans="2:10" ht="72" customHeight="1" x14ac:dyDescent="0.25">
      <c r="B47" s="13"/>
      <c r="C47" s="37">
        <v>4</v>
      </c>
      <c r="D47" s="69" t="s">
        <v>66</v>
      </c>
      <c r="E47" s="71"/>
      <c r="F47" s="83" t="s">
        <v>67</v>
      </c>
      <c r="G47" s="84"/>
      <c r="H47" s="37" t="s">
        <v>65</v>
      </c>
      <c r="I47" s="36">
        <v>46066</v>
      </c>
      <c r="J47" s="14"/>
    </row>
    <row r="48" spans="2:10" ht="53.25" customHeight="1" x14ac:dyDescent="0.25">
      <c r="B48" s="13"/>
      <c r="J48" s="14"/>
    </row>
    <row r="49" spans="2:10" ht="54" customHeight="1" x14ac:dyDescent="0.25">
      <c r="B49" s="13"/>
      <c r="C49" s="53" t="s">
        <v>29</v>
      </c>
      <c r="D49" s="54"/>
      <c r="E49" s="54"/>
      <c r="F49" s="54"/>
      <c r="G49" s="54"/>
      <c r="H49" s="54"/>
      <c r="I49" s="55"/>
      <c r="J49" s="14"/>
    </row>
    <row r="50" spans="2:10" ht="74.25" customHeight="1" x14ac:dyDescent="0.25">
      <c r="B50" s="13"/>
      <c r="C50" s="25" t="s">
        <v>21</v>
      </c>
      <c r="D50" s="25" t="s">
        <v>32</v>
      </c>
      <c r="E50" s="25" t="s">
        <v>22</v>
      </c>
      <c r="F50" s="28" t="s">
        <v>30</v>
      </c>
      <c r="G50" s="25" t="s">
        <v>7</v>
      </c>
      <c r="H50" s="25" t="s">
        <v>31</v>
      </c>
      <c r="I50" s="25" t="s">
        <v>20</v>
      </c>
      <c r="J50" s="14"/>
    </row>
    <row r="51" spans="2:10" ht="123.75" customHeight="1" x14ac:dyDescent="0.25">
      <c r="B51" s="13"/>
      <c r="C51" s="37">
        <v>1</v>
      </c>
      <c r="D51" s="32" t="s">
        <v>73</v>
      </c>
      <c r="E51" s="33" t="s">
        <v>74</v>
      </c>
      <c r="F51" s="38">
        <v>46056</v>
      </c>
      <c r="G51" s="33" t="s">
        <v>26</v>
      </c>
      <c r="H51" s="36">
        <v>46057</v>
      </c>
      <c r="I51" s="33" t="s">
        <v>75</v>
      </c>
      <c r="J51" s="14"/>
    </row>
    <row r="52" spans="2:10" ht="191.25" customHeight="1" x14ac:dyDescent="0.25">
      <c r="B52" s="13"/>
      <c r="C52" s="33">
        <v>2</v>
      </c>
      <c r="D52" s="33" t="s">
        <v>76</v>
      </c>
      <c r="E52" s="33" t="s">
        <v>77</v>
      </c>
      <c r="F52" s="38">
        <v>46057</v>
      </c>
      <c r="G52" s="37" t="s">
        <v>26</v>
      </c>
      <c r="H52" s="38">
        <v>46059</v>
      </c>
      <c r="I52" s="33" t="s">
        <v>69</v>
      </c>
      <c r="J52" s="14"/>
    </row>
    <row r="53" spans="2:10" x14ac:dyDescent="0.25">
      <c r="B53" s="13"/>
      <c r="J53" s="14"/>
    </row>
    <row r="54" spans="2:10" x14ac:dyDescent="0.25">
      <c r="B54" s="13"/>
      <c r="C54" s="53" t="s">
        <v>37</v>
      </c>
      <c r="D54" s="54"/>
      <c r="E54" s="54"/>
      <c r="F54" s="54"/>
      <c r="G54" s="54"/>
      <c r="H54" s="54"/>
      <c r="I54" s="55"/>
      <c r="J54" s="14"/>
    </row>
    <row r="55" spans="2:10" x14ac:dyDescent="0.25">
      <c r="B55" s="13"/>
      <c r="C55" s="25" t="s">
        <v>19</v>
      </c>
      <c r="D55" s="45" t="s">
        <v>24</v>
      </c>
      <c r="E55" s="46"/>
      <c r="F55" s="46"/>
      <c r="G55" s="46"/>
      <c r="H55" s="46"/>
      <c r="I55" s="47"/>
      <c r="J55" s="14"/>
    </row>
    <row r="56" spans="2:10" ht="14.25" customHeight="1" x14ac:dyDescent="0.25">
      <c r="B56" s="13"/>
      <c r="C56" s="18">
        <v>1</v>
      </c>
      <c r="D56" s="85" t="s">
        <v>78</v>
      </c>
      <c r="E56" s="85"/>
      <c r="F56" s="85"/>
      <c r="G56" s="85"/>
      <c r="H56" s="85"/>
      <c r="I56" s="85"/>
      <c r="J56" s="14"/>
    </row>
    <row r="57" spans="2:10" x14ac:dyDescent="0.25">
      <c r="B57" s="13"/>
      <c r="C57" s="18">
        <v>2</v>
      </c>
      <c r="D57" s="86" t="s">
        <v>79</v>
      </c>
      <c r="E57" s="86"/>
      <c r="F57" s="86"/>
      <c r="G57" s="86"/>
      <c r="H57" s="86"/>
      <c r="I57" s="86"/>
      <c r="J57" s="14"/>
    </row>
    <row r="58" spans="2:10" ht="12.75" customHeight="1" x14ac:dyDescent="0.25">
      <c r="B58" s="13"/>
      <c r="C58" s="18">
        <v>3</v>
      </c>
      <c r="D58" s="75" t="s">
        <v>80</v>
      </c>
      <c r="E58" s="76"/>
      <c r="F58" s="76"/>
      <c r="G58" s="76"/>
      <c r="H58" s="76"/>
      <c r="I58" s="77"/>
      <c r="J58" s="14"/>
    </row>
    <row r="59" spans="2:10" x14ac:dyDescent="0.25">
      <c r="B59" s="13"/>
      <c r="J59" s="14"/>
    </row>
    <row r="60" spans="2:10" x14ac:dyDescent="0.25">
      <c r="B60" s="13"/>
      <c r="J60" s="14"/>
    </row>
    <row r="61" spans="2:10" x14ac:dyDescent="0.25">
      <c r="B61" s="13"/>
      <c r="J61" s="14"/>
    </row>
    <row r="62" spans="2:10" x14ac:dyDescent="0.25">
      <c r="B62" s="13"/>
      <c r="J62" s="14"/>
    </row>
    <row r="63" spans="2:10" x14ac:dyDescent="0.25">
      <c r="B63" s="13"/>
      <c r="J63" s="14"/>
    </row>
    <row r="64" spans="2:10" x14ac:dyDescent="0.25">
      <c r="B64" s="13"/>
      <c r="J64" s="14"/>
    </row>
    <row r="65" spans="2:10" ht="15.75" thickBot="1" x14ac:dyDescent="0.3">
      <c r="B65" s="15"/>
      <c r="C65" s="16"/>
      <c r="D65" s="16"/>
      <c r="E65" s="16"/>
      <c r="F65" s="16"/>
      <c r="G65" s="16"/>
      <c r="H65" s="16"/>
      <c r="I65" s="16"/>
      <c r="J65" s="17"/>
    </row>
    <row r="66" spans="2:10" ht="15.75" thickTop="1" x14ac:dyDescent="0.25"/>
  </sheetData>
  <mergeCells count="40">
    <mergeCell ref="D46:E46"/>
    <mergeCell ref="F46:G46"/>
    <mergeCell ref="D55:I55"/>
    <mergeCell ref="D56:I56"/>
    <mergeCell ref="D57:I57"/>
    <mergeCell ref="D58:I58"/>
    <mergeCell ref="H31:I31"/>
    <mergeCell ref="D39:I39"/>
    <mergeCell ref="D44:E44"/>
    <mergeCell ref="F44:G44"/>
    <mergeCell ref="D45:E45"/>
    <mergeCell ref="F45:G45"/>
    <mergeCell ref="D47:E47"/>
    <mergeCell ref="F47:G47"/>
    <mergeCell ref="C49:I49"/>
    <mergeCell ref="C54:I54"/>
    <mergeCell ref="D40:I40"/>
    <mergeCell ref="C42:I42"/>
    <mergeCell ref="D43:E43"/>
    <mergeCell ref="F43:G43"/>
    <mergeCell ref="D37:I37"/>
    <mergeCell ref="H30:I30"/>
    <mergeCell ref="H32:I32"/>
    <mergeCell ref="C34:I34"/>
    <mergeCell ref="D35:I35"/>
    <mergeCell ref="D36:I36"/>
    <mergeCell ref="C24:I24"/>
    <mergeCell ref="C25:I25"/>
    <mergeCell ref="C27:I27"/>
    <mergeCell ref="H28:I28"/>
    <mergeCell ref="H29:I29"/>
    <mergeCell ref="G14:I14"/>
    <mergeCell ref="G15:I15"/>
    <mergeCell ref="C17:I17"/>
    <mergeCell ref="C6:I6"/>
    <mergeCell ref="D8:I8"/>
    <mergeCell ref="D9:I9"/>
    <mergeCell ref="D10:I10"/>
    <mergeCell ref="D11:I11"/>
    <mergeCell ref="C13:I13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Avance 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KATIA DAYANA CASTRO CABRERA</cp:lastModifiedBy>
  <cp:lastPrinted>2012-05-15T18:53:23Z</cp:lastPrinted>
  <dcterms:created xsi:type="dcterms:W3CDTF">2012-05-15T16:38:20Z</dcterms:created>
  <dcterms:modified xsi:type="dcterms:W3CDTF">2026-04-28T22:08:13Z</dcterms:modified>
</cp:coreProperties>
</file>